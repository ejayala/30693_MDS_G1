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3.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4.xml" ContentType="application/vnd.openxmlformats-officedocument.drawing+xml"/>
  <Override PartName="/xl/charts/chart14.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6"/>
  <workbookPr/>
  <mc:AlternateContent xmlns:mc="http://schemas.openxmlformats.org/markup-compatibility/2006">
    <mc:Choice Requires="x15">
      <x15ac:absPath xmlns:x15ac="http://schemas.microsoft.com/office/spreadsheetml/2010/11/ac" url="https://uespe-my.sharepoint.com/personal/lecuichan2_espe_edu_ec/Documents/"/>
    </mc:Choice>
  </mc:AlternateContent>
  <xr:revisionPtr revIDLastSave="0" documentId="8_{49DC123B-A25F-48C2-BD91-BC3BF4FDA8B5}" xr6:coauthVersionLast="47" xr6:coauthVersionMax="47" xr10:uidLastSave="{00000000-0000-0000-0000-000000000000}"/>
  <bookViews>
    <workbookView xWindow="28680" yWindow="-120" windowWidth="20640" windowHeight="11040" firstSheet="2" activeTab="1" xr2:uid="{00000000-000D-0000-FFFF-FFFF00000000}"/>
  </bookViews>
  <sheets>
    <sheet name="Backlog" sheetId="1" r:id="rId1"/>
    <sheet name="Sprints" sheetId="4" r:id="rId2"/>
    <sheet name="burdonchart - 1" sheetId="3" r:id="rId3"/>
    <sheet name="burdonchart - 2" sheetId="5" r:id="rId4"/>
    <sheet name="burdochart-3" sheetId="6" r:id="rId5"/>
    <sheet name="burdochart final"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7" l="1"/>
  <c r="G15" i="7"/>
  <c r="G17" i="7"/>
  <c r="H17" i="7"/>
  <c r="H16" i="7"/>
  <c r="H15" i="7"/>
  <c r="G9" i="7"/>
  <c r="H9" i="7"/>
  <c r="D8" i="5"/>
  <c r="E8" i="5"/>
  <c r="F8" i="5"/>
  <c r="G8" i="5"/>
  <c r="H8" i="5"/>
  <c r="I8" i="5"/>
  <c r="D41" i="5"/>
  <c r="E41" i="5"/>
  <c r="F41" i="5"/>
  <c r="G41" i="5"/>
  <c r="H41" i="5"/>
  <c r="I41" i="5"/>
  <c r="D74" i="5"/>
  <c r="E74" i="5"/>
  <c r="F74" i="5"/>
  <c r="G74" i="5"/>
  <c r="H74" i="5"/>
  <c r="I74" i="5"/>
  <c r="D105" i="5"/>
  <c r="E105" i="5"/>
  <c r="F105" i="5"/>
  <c r="G105" i="5"/>
  <c r="H105" i="5"/>
  <c r="I105" i="5"/>
  <c r="L4" i="6"/>
  <c r="L3" i="3"/>
  <c r="K39" i="3"/>
  <c r="J87" i="4"/>
  <c r="J82" i="4"/>
  <c r="J76" i="4"/>
  <c r="J67" i="4"/>
  <c r="J6" i="4"/>
  <c r="J18" i="4"/>
  <c r="J24" i="4"/>
  <c r="J30" i="4"/>
  <c r="J48" i="4"/>
  <c r="J61" i="4"/>
  <c r="J42" i="4"/>
  <c r="J37" i="4"/>
  <c r="J12" i="4"/>
  <c r="K145" i="6"/>
  <c r="K110" i="6"/>
  <c r="K12" i="6"/>
  <c r="J105" i="5"/>
  <c r="K105" i="5"/>
  <c r="C74" i="5"/>
  <c r="K11" i="3"/>
  <c r="K63" i="3"/>
  <c r="K121" i="3"/>
  <c r="K122" i="3"/>
  <c r="K123" i="3"/>
  <c r="K124" i="3"/>
  <c r="K125" i="3"/>
  <c r="C125" i="3"/>
  <c r="D125" i="3"/>
  <c r="E125" i="3"/>
  <c r="F125" i="3"/>
  <c r="G125" i="3"/>
  <c r="H125" i="3"/>
  <c r="I125" i="3"/>
  <c r="J125" i="3"/>
  <c r="C126" i="3"/>
  <c r="D126" i="3"/>
  <c r="E126" i="3"/>
  <c r="F126" i="3"/>
  <c r="G126" i="3"/>
  <c r="H126" i="3"/>
  <c r="I126" i="3"/>
  <c r="J126" i="3"/>
  <c r="K92" i="3"/>
  <c r="K93" i="3"/>
  <c r="K94" i="3"/>
  <c r="K95" i="3"/>
  <c r="K96" i="3"/>
  <c r="C96" i="3"/>
  <c r="D96" i="3"/>
  <c r="E96" i="3"/>
  <c r="F96" i="3"/>
  <c r="G96" i="3"/>
  <c r="H96" i="3"/>
  <c r="I96" i="3"/>
  <c r="J96" i="3"/>
  <c r="C97" i="3"/>
  <c r="D97" i="3"/>
  <c r="E97" i="3"/>
  <c r="F97" i="3"/>
  <c r="G97" i="3"/>
  <c r="H97" i="3"/>
  <c r="I97" i="3"/>
  <c r="J97" i="3"/>
  <c r="C39" i="3"/>
  <c r="D39" i="3"/>
  <c r="E39" i="3"/>
  <c r="F39" i="3"/>
  <c r="G39" i="3"/>
  <c r="H39" i="3"/>
  <c r="I39" i="3"/>
  <c r="J39" i="3"/>
  <c r="C40" i="3"/>
  <c r="D40" i="3"/>
  <c r="E40" i="3"/>
  <c r="F40" i="3"/>
  <c r="G40" i="3"/>
  <c r="H40" i="3"/>
  <c r="I40" i="3"/>
  <c r="J40" i="3"/>
  <c r="K35" i="3"/>
  <c r="K36" i="3"/>
  <c r="K37" i="3"/>
  <c r="K38" i="3"/>
  <c r="K62" i="3"/>
  <c r="K64" i="3"/>
  <c r="K65" i="3"/>
  <c r="D66" i="3"/>
  <c r="E66" i="3"/>
  <c r="F66" i="3"/>
  <c r="G66" i="3"/>
  <c r="H66" i="3"/>
  <c r="I66" i="3"/>
  <c r="J66" i="3"/>
  <c r="D67" i="3"/>
  <c r="E67" i="3"/>
  <c r="F67" i="3"/>
  <c r="G67" i="3"/>
  <c r="H67" i="3"/>
  <c r="I67" i="3"/>
  <c r="J67" i="3"/>
  <c r="C67" i="3"/>
  <c r="C66" i="3"/>
  <c r="C50" i="6"/>
  <c r="D50" i="6" s="1"/>
  <c r="E50" i="6" s="1"/>
  <c r="F50" i="6" s="1"/>
  <c r="G50" i="6" s="1"/>
  <c r="H50" i="6" s="1"/>
  <c r="I50" i="6" s="1"/>
  <c r="J50" i="6" s="1"/>
  <c r="C49" i="6"/>
  <c r="F49" i="6"/>
  <c r="G49" i="6"/>
  <c r="E49" i="6"/>
  <c r="D49" i="6"/>
  <c r="J49" i="6"/>
  <c r="H49" i="6"/>
  <c r="I49" i="6"/>
  <c r="K48" i="6"/>
  <c r="K49" i="6"/>
  <c r="K141" i="6"/>
  <c r="K142" i="6"/>
  <c r="K143" i="6"/>
  <c r="K144" i="6"/>
  <c r="C145" i="6"/>
  <c r="D145" i="6"/>
  <c r="E145" i="6"/>
  <c r="F145" i="6"/>
  <c r="G145" i="6"/>
  <c r="H145" i="6"/>
  <c r="I145" i="6"/>
  <c r="J145" i="6"/>
  <c r="C146" i="6"/>
  <c r="D146" i="6" s="1"/>
  <c r="E146" i="6" s="1"/>
  <c r="F146" i="6" s="1"/>
  <c r="G146" i="6" s="1"/>
  <c r="H146" i="6" s="1"/>
  <c r="I146" i="6" s="1"/>
  <c r="J146" i="6" s="1"/>
  <c r="K106" i="6"/>
  <c r="K107" i="6"/>
  <c r="K108" i="6"/>
  <c r="K109" i="6"/>
  <c r="C110" i="6"/>
  <c r="D110" i="6"/>
  <c r="E110" i="6"/>
  <c r="F110" i="6"/>
  <c r="G110" i="6"/>
  <c r="H110" i="6"/>
  <c r="I110" i="6"/>
  <c r="J110" i="6"/>
  <c r="C111" i="6"/>
  <c r="D111" i="6"/>
  <c r="E111" i="6" s="1"/>
  <c r="F111" i="6" s="1"/>
  <c r="G111" i="6" s="1"/>
  <c r="H111" i="6" s="1"/>
  <c r="I111" i="6" s="1"/>
  <c r="J111" i="6" s="1"/>
  <c r="K44" i="6"/>
  <c r="K45" i="6"/>
  <c r="K46" i="6"/>
  <c r="K47" i="6"/>
  <c r="K7" i="6"/>
  <c r="K8" i="6"/>
  <c r="K9" i="6"/>
  <c r="K10" i="6"/>
  <c r="K11" i="6"/>
  <c r="C12" i="6"/>
  <c r="D12" i="6"/>
  <c r="E12" i="6"/>
  <c r="F12" i="6"/>
  <c r="G12" i="6"/>
  <c r="H12" i="6"/>
  <c r="I12" i="6"/>
  <c r="J12" i="6"/>
  <c r="C13" i="6"/>
  <c r="D13" i="6" s="1"/>
  <c r="E13" i="6" s="1"/>
  <c r="F13" i="6" s="1"/>
  <c r="G13" i="6" s="1"/>
  <c r="H13" i="6" s="1"/>
  <c r="I13" i="6" s="1"/>
  <c r="J13" i="6" s="1"/>
  <c r="K40" i="5"/>
  <c r="C106" i="5"/>
  <c r="C105" i="5"/>
  <c r="K104" i="5"/>
  <c r="K103" i="5"/>
  <c r="K102" i="5"/>
  <c r="K71" i="5"/>
  <c r="K72" i="5"/>
  <c r="C75" i="5"/>
  <c r="J74" i="5"/>
  <c r="K73" i="5"/>
  <c r="K70" i="5"/>
  <c r="K69" i="5"/>
  <c r="C42" i="5"/>
  <c r="J41" i="5"/>
  <c r="K41" i="5" s="1"/>
  <c r="C41" i="5"/>
  <c r="K39" i="5"/>
  <c r="K38" i="5"/>
  <c r="K37" i="5"/>
  <c r="J8" i="5"/>
  <c r="K8" i="5" s="1"/>
  <c r="C9" i="5"/>
  <c r="D9" i="5" s="1"/>
  <c r="E9" i="5" s="1"/>
  <c r="F9" i="5" s="1"/>
  <c r="G9" i="5" s="1"/>
  <c r="H9" i="5" s="1"/>
  <c r="I9" i="5" s="1"/>
  <c r="J9" i="5" s="1"/>
  <c r="C8" i="5"/>
  <c r="K7" i="5"/>
  <c r="K6" i="5"/>
  <c r="K5" i="5"/>
  <c r="C12" i="3"/>
  <c r="D12" i="3" s="1"/>
  <c r="E12" i="3" s="1"/>
  <c r="F12" i="3" s="1"/>
  <c r="G12" i="3" s="1"/>
  <c r="H12" i="3" s="1"/>
  <c r="I12" i="3" s="1"/>
  <c r="J12" i="3" s="1"/>
  <c r="K7" i="3"/>
  <c r="K8" i="3"/>
  <c r="K9" i="3"/>
  <c r="K10" i="3"/>
  <c r="K6" i="3"/>
  <c r="D11" i="3"/>
  <c r="E11" i="3"/>
  <c r="F11" i="3"/>
  <c r="G11" i="3"/>
  <c r="H11" i="3"/>
  <c r="I11" i="3"/>
  <c r="J11" i="3"/>
  <c r="C11" i="3"/>
  <c r="D42" i="5" l="1"/>
  <c r="E42" i="5" s="1"/>
  <c r="F42" i="5" s="1"/>
  <c r="G42" i="5" s="1"/>
  <c r="H42" i="5" s="1"/>
  <c r="I42" i="5" s="1"/>
  <c r="J42" i="5" s="1"/>
  <c r="D75" i="5"/>
  <c r="E75" i="5" s="1"/>
  <c r="F75" i="5" s="1"/>
  <c r="G75" i="5" s="1"/>
  <c r="H75" i="5" s="1"/>
  <c r="I75" i="5" s="1"/>
  <c r="J75" i="5" s="1"/>
  <c r="D106" i="5"/>
  <c r="E106" i="5" s="1"/>
  <c r="F106" i="5" s="1"/>
  <c r="G106" i="5" s="1"/>
  <c r="H106" i="5" s="1"/>
  <c r="I106" i="5" s="1"/>
  <c r="J106" i="5" s="1"/>
  <c r="K74" i="5"/>
  <c r="L3" i="5" s="1"/>
  <c r="K66" i="3"/>
</calcChain>
</file>

<file path=xl/sharedStrings.xml><?xml version="1.0" encoding="utf-8"?>
<sst xmlns="http://schemas.openxmlformats.org/spreadsheetml/2006/main" count="661" uniqueCount="254">
  <si>
    <t>ID</t>
  </si>
  <si>
    <t>Tema</t>
  </si>
  <si>
    <t>Como un..</t>
  </si>
  <si>
    <t>necesito</t>
  </si>
  <si>
    <t>asi podre...</t>
  </si>
  <si>
    <t>notas</t>
  </si>
  <si>
    <t>prioridad</t>
  </si>
  <si>
    <t>estatus</t>
  </si>
  <si>
    <t>REQ001</t>
  </si>
  <si>
    <t>Navegacion por el sistema</t>
  </si>
  <si>
    <t>Administrador del sistema</t>
  </si>
  <si>
    <t>Acceder rápidamente a los diferentes módulos mediante un menú principal intuitivo.</t>
  </si>
  <si>
    <t>Ingresar de forma eficiente entre los modulos del sistema y usar el aplicativo</t>
  </si>
  <si>
    <t>-</t>
  </si>
  <si>
    <t>Alta</t>
  </si>
  <si>
    <t>Terminado</t>
  </si>
  <si>
    <t>REQ002</t>
  </si>
  <si>
    <t>Registro de Productos</t>
  </si>
  <si>
    <t>Ingresar productos diferenciando claramente sus variantes de tamaño, empaque, precio e imagen.</t>
  </si>
  <si>
    <t>Tomar pedidos con mayor rapidez y mantener un control preciso del inventario</t>
  </si>
  <si>
    <t>REQ003</t>
  </si>
  <si>
    <t xml:space="preserve">Gestion de Productos </t>
  </si>
  <si>
    <t>Modificar o eliminar los datos de los productos ingresados</t>
  </si>
  <si>
    <t>Mantener la información actualizada para evitar fallos en disponibilidad de productos</t>
  </si>
  <si>
    <t>REQ004</t>
  </si>
  <si>
    <t>Registro de Clientes</t>
  </si>
  <si>
    <t>Ingresar la informacion necesaria de cada cliente (Cedula, Nombre,etc)</t>
  </si>
  <si>
    <t>Identificar correctamente a los compradores para futuras ventas.</t>
  </si>
  <si>
    <t>REQ005</t>
  </si>
  <si>
    <t>Gestion y Actualizacion de la informacion de Clientes</t>
  </si>
  <si>
    <t xml:space="preserve">Modificar o eliminar los datos de los clientes registrados </t>
  </si>
  <si>
    <t xml:space="preserve">Mantener la información actualizada para evitar fallos en contacto </t>
  </si>
  <si>
    <t>REQ006</t>
  </si>
  <si>
    <t>Alerta de Fecha Cumpleaños Clientes</t>
  </si>
  <si>
    <t>Ver una alerta automática en el panel con los clientes que cumplen años en los proximos dias.</t>
  </si>
  <si>
    <t>Gestionar felicitaciones oportunas y ofrecer promociones exclusivas para mejorar su fidelización.</t>
  </si>
  <si>
    <t>REQ007</t>
  </si>
  <si>
    <t>Registro Clientes Potenciales</t>
  </si>
  <si>
    <t>Registrar personas interesadas en los productos</t>
  </si>
  <si>
    <t>Llevar un seguimiento organizado de posibles compradores</t>
  </si>
  <si>
    <t>REQ008</t>
  </si>
  <si>
    <t>Gestión de Clientes Potenciales</t>
  </si>
  <si>
    <t>Actualizar los datos de contacto y gestionar la baja de los clientes potenciales.</t>
  </si>
  <si>
    <t>Mantener actualizada la información de los clientes potenciales y controlar mejor quién sigue interesado y quién ya no.</t>
  </si>
  <si>
    <t>REQ009</t>
  </si>
  <si>
    <t>Gestión de clientes inactivos</t>
  </si>
  <si>
    <t>Reactivar o eliminar clientes inactivos.</t>
  </si>
  <si>
    <t>Mantener un listado de clientes activos sin perder el historial de ventas</t>
  </si>
  <si>
    <t>REQ010</t>
  </si>
  <si>
    <t>Catalogo de Productos</t>
  </si>
  <si>
    <t xml:space="preserve">Visualizar los productos registrados con su imagen, nombre, tamaño y precio </t>
  </si>
  <si>
    <t>Seleccionar y agregar productos de forma rápida al momento de realizar una venta</t>
  </si>
  <si>
    <t>REQ011</t>
  </si>
  <si>
    <t xml:space="preserve">Registros de Ventas </t>
  </si>
  <si>
    <t>Registrar las ventas realizadas en el sistema.</t>
  </si>
  <si>
    <t>Llevar el seguimiento a ventas realizadas.</t>
  </si>
  <si>
    <t>REQ012</t>
  </si>
  <si>
    <t>Nota Venta</t>
  </si>
  <si>
    <t>Generar una nota de venta digital con el detalle de la compra para su impresión o entrega al cliente.</t>
  </si>
  <si>
    <t xml:space="preserve">Entregar un comprobante de la compra al cliente </t>
  </si>
  <si>
    <t>REQ013</t>
  </si>
  <si>
    <t>Exportar Reportes Excel</t>
  </si>
  <si>
    <t>Exportar los datos consolidados de ventas y clientes a un archivo Excel estructurado.</t>
  </si>
  <si>
    <t>Entender el desempeño del negocio mediante resumen y graficos Excel.</t>
  </si>
  <si>
    <t>SPRINT 1</t>
  </si>
  <si>
    <t>Navegacion ,Registro y Gestion de Productos y Logica de Clientes</t>
  </si>
  <si>
    <t>Necesito</t>
  </si>
  <si>
    <t>así podre...</t>
  </si>
  <si>
    <t>Prioridad</t>
  </si>
  <si>
    <t>Status</t>
  </si>
  <si>
    <t>Navegacion por el  Sistema</t>
  </si>
  <si>
    <t>Administrador del Sistema</t>
  </si>
  <si>
    <t xml:space="preserve">Acceder rápidamente a los diferentes módulos mediante un menú principal intuitivo.
</t>
  </si>
  <si>
    <t xml:space="preserve">Ingresar de forma eficiente entre los modulos del sistema y usar el aplicativo
</t>
  </si>
  <si>
    <t>#intentos</t>
  </si>
  <si>
    <t>Tareas</t>
  </si>
  <si>
    <t>Asignado</t>
  </si>
  <si>
    <t>Estimado</t>
  </si>
  <si>
    <t>REQ001-1</t>
  </si>
  <si>
    <t>Maquetación del Layout y Dashboard.</t>
  </si>
  <si>
    <t>Esteban Cuichan</t>
  </si>
  <si>
    <t>REQ001-2</t>
  </si>
  <si>
    <t>Configuración de Estilos e Identidad Visual.</t>
  </si>
  <si>
    <t>REQ001-3</t>
  </si>
  <si>
    <t>Programación de Eventos de Enrutamiento.</t>
  </si>
  <si>
    <t>REQ001-4</t>
  </si>
  <si>
    <t>Gestión de Estados y Memoria Visual.</t>
  </si>
  <si>
    <t>REQ001-5</t>
  </si>
  <si>
    <t>Pruebas de Integración de Navegación.</t>
  </si>
  <si>
    <t>Ingresar productos diferenciando claramente sus variantes de tamaño, empaque, precio e imagen</t>
  </si>
  <si>
    <t>REQ002-1</t>
  </si>
  <si>
    <t xml:space="preserve">Diseñar clase Producto </t>
  </si>
  <si>
    <t>Johan Catota</t>
  </si>
  <si>
    <t>REQ002-2</t>
  </si>
  <si>
    <t>Implementar registros de productos</t>
  </si>
  <si>
    <t>REQ002-3</t>
  </si>
  <si>
    <t>Programacion de Guardado</t>
  </si>
  <si>
    <t>REQ002-4</t>
  </si>
  <si>
    <t>Guardado de Catalogo Productos</t>
  </si>
  <si>
    <t>Gestion de Productos</t>
  </si>
  <si>
    <t>REQ003-1</t>
  </si>
  <si>
    <t>Implementar consulta de Producttos</t>
  </si>
  <si>
    <t>REQ003-2</t>
  </si>
  <si>
    <t xml:space="preserve">Implementar CRUD Producto </t>
  </si>
  <si>
    <t>REQ003-3</t>
  </si>
  <si>
    <t xml:space="preserve">Conexión a la Vista Principal </t>
  </si>
  <si>
    <t>REQ003-4</t>
  </si>
  <si>
    <t>Actualizacion de Tabla Productos</t>
  </si>
  <si>
    <t>Registro de Cliente</t>
  </si>
  <si>
    <t>Ingresar los informacion necesaria de cada cliente (Cedula, Nombre,etc)</t>
  </si>
  <si>
    <t>REQ004-1</t>
  </si>
  <si>
    <t>Diseño de la interfaz para el registro y edición de datos del cliente.</t>
  </si>
  <si>
    <t>Eatan Ayala</t>
  </si>
  <si>
    <t>REQ004-2</t>
  </si>
  <si>
    <t xml:space="preserve">Aplicacion de la lógica de creación, modificación y eliminación de registros </t>
  </si>
  <si>
    <t>REQ004-3</t>
  </si>
  <si>
    <t>Integración del módulo de registros de clientes con otros módulos del sistema.</t>
  </si>
  <si>
    <t>REQ004-4</t>
  </si>
  <si>
    <t>Verificación y pruebas funcionales del proceso de registro de clientes.</t>
  </si>
  <si>
    <t xml:space="preserve">Modificar los datos de los clientes registrados </t>
  </si>
  <si>
    <t>Mantener la información actualizada para evitar fallos en contacto.</t>
  </si>
  <si>
    <t>REQ005-1</t>
  </si>
  <si>
    <t>Conexión de la GUI con los metodos para la modificacion</t>
  </si>
  <si>
    <t>REQ005-2</t>
  </si>
  <si>
    <t>Visualizacion y Relleno de Datos al ingresar ID en la GUI</t>
  </si>
  <si>
    <t>REQ005-3</t>
  </si>
  <si>
    <t>Bloquear Campo ID, y permitir modificacion de los otros datos</t>
  </si>
  <si>
    <t>REQ005-4</t>
  </si>
  <si>
    <t>Modificacion de la informacion en la base de datos</t>
  </si>
  <si>
    <t>SPRINT 2</t>
  </si>
  <si>
    <t>Alerta de Cumpleaños, Registro y Gestion de Clientes Potenciales</t>
  </si>
  <si>
    <t xml:space="preserve">Tareas </t>
  </si>
  <si>
    <t>REQ006-1</t>
  </si>
  <si>
    <t>Agregar el atributo de Fecha de cumpleaños al Cliente</t>
  </si>
  <si>
    <t>REQ006-2</t>
  </si>
  <si>
    <t xml:space="preserve"> Agregar al formulario del cliente el campo de elección de fecha</t>
  </si>
  <si>
    <t>REQ006-3</t>
  </si>
  <si>
    <t>Configurar que el ingreso no sea obligatorio</t>
  </si>
  <si>
    <t>REQ007-1</t>
  </si>
  <si>
    <t>Conexion de la GUI con los metodos para el ingreso de datos</t>
  </si>
  <si>
    <t>REQ007-2</t>
  </si>
  <si>
    <t>Ingreso de datos para un posible cliente dependiendo el campo</t>
  </si>
  <si>
    <t>REQ007-3</t>
  </si>
  <si>
    <t>Asignacion del Estado de "Cliente Pontencial"</t>
  </si>
  <si>
    <t>REQ007-4</t>
  </si>
  <si>
    <t xml:space="preserve">Insertar en la base de datos el cliente registrado </t>
  </si>
  <si>
    <t>REQ008-1</t>
  </si>
  <si>
    <t>Maquetación del modulo de clientes potenciales</t>
  </si>
  <si>
    <t>REQ008-2</t>
  </si>
  <si>
    <t>Implementación de consulta de clientes potenciales</t>
  </si>
  <si>
    <t>REQ008-3</t>
  </si>
  <si>
    <t>Actualización de datos de Clientes Potenciales</t>
  </si>
  <si>
    <t>REQ008-4</t>
  </si>
  <si>
    <t>Gestión de eliminacion de clientes potenciales</t>
  </si>
  <si>
    <t>REQ008-5</t>
  </si>
  <si>
    <t>Pruebas del módulo de clientes potenciales</t>
  </si>
  <si>
    <t>REQ009-1</t>
  </si>
  <si>
    <t>Filtrado y consulta de clientes por ID o cédula</t>
  </si>
  <si>
    <t>Katherine Caizaluisa</t>
  </si>
  <si>
    <t>REQ009-2</t>
  </si>
  <si>
    <t>Cambio de estado del Cliente</t>
  </si>
  <si>
    <t>REQ009-3</t>
  </si>
  <si>
    <t>Validaciones y mensajes de error</t>
  </si>
  <si>
    <t>SPRINT 3</t>
  </si>
  <si>
    <t>Modulo de Ventas y Almacenamiento Excel</t>
  </si>
  <si>
    <t>No iniciada</t>
  </si>
  <si>
    <t>REQ010-1</t>
  </si>
  <si>
    <t>Diseñar interfaz del catálogo</t>
  </si>
  <si>
    <t>REQ010-2</t>
  </si>
  <si>
    <t>Integrar repositorio de productos de forma dinamica</t>
  </si>
  <si>
    <t>REQ010-3</t>
  </si>
  <si>
    <t>Gestionar  Uso de imágenes de productos</t>
  </si>
  <si>
    <t>REQ010-4</t>
  </si>
  <si>
    <t xml:space="preserve">Implementar selección de producto </t>
  </si>
  <si>
    <t>REQ010-5</t>
  </si>
  <si>
    <t>Optimizar carga y refresco de Catalogo</t>
  </si>
  <si>
    <t>Registro de Ventas</t>
  </si>
  <si>
    <t>REQ011-1</t>
  </si>
  <si>
    <t>Diseñar interfaz Ventas</t>
  </si>
  <si>
    <t>REQ011-2</t>
  </si>
  <si>
    <t>Permitir busqueda por Nombre para seleccionar cliente "Activo" en una tabla</t>
  </si>
  <si>
    <t>REQ011-3</t>
  </si>
  <si>
    <t>Agregar producto a un carrito de compras al seleccionarlo</t>
  </si>
  <si>
    <t>REQ011-4</t>
  </si>
  <si>
    <t>Agregar cantidad de producto a comprar</t>
  </si>
  <si>
    <t>REQ011-5</t>
  </si>
  <si>
    <t>Guardar en base de datos la venta y los detalles de la misma</t>
  </si>
  <si>
    <t>Emisión Nota Venta</t>
  </si>
  <si>
    <t>REQ012-1</t>
  </si>
  <si>
    <t>Generar búsqueda dínamica por nombres para obtener la venta de cada cliente.</t>
  </si>
  <si>
    <t>REQ012-2</t>
  </si>
  <si>
    <t>Conectar la búsqueda con la tabla de ventas</t>
  </si>
  <si>
    <t>REQ012-3</t>
  </si>
  <si>
    <t>Generar una vista previa de la nota de venta tipo PDF</t>
  </si>
  <si>
    <t>REQ012-4</t>
  </si>
  <si>
    <t>Generar la exportación de nota de venta en PDF</t>
  </si>
  <si>
    <t>REQ013-1</t>
  </si>
  <si>
    <t>Crear filtramiento por fechas para la exportación</t>
  </si>
  <si>
    <t>REQ013-2</t>
  </si>
  <si>
    <t>Vincular filtramiento por fechas con la tabla de ventas</t>
  </si>
  <si>
    <t>REQ013-3</t>
  </si>
  <si>
    <t>Crear boton para exportar ventas a Excel</t>
  </si>
  <si>
    <t>REQ013-4</t>
  </si>
  <si>
    <t>Generar Excel con gráficos analiticos sobre las ventas en el rango de fecha ingresado</t>
  </si>
  <si>
    <t>SPRINT 1  - Navegacion, Registro de Productos y Logica Clientes</t>
  </si>
  <si>
    <t>SUMA TOTAL DE SPRINT</t>
  </si>
  <si>
    <t>REQ001 - NAVEGACIÓN POR EL SISTEMA</t>
  </si>
  <si>
    <t>Dia 7</t>
  </si>
  <si>
    <t>Dia 6</t>
  </si>
  <si>
    <t>Dia 5</t>
  </si>
  <si>
    <t>Dia 4</t>
  </si>
  <si>
    <t>Dia 3</t>
  </si>
  <si>
    <t>Dia 2</t>
  </si>
  <si>
    <t>Dia 1</t>
  </si>
  <si>
    <t>Total de Horas</t>
  </si>
  <si>
    <t>Horas Estimadas</t>
  </si>
  <si>
    <t>Horas Estimadas
Restantes</t>
  </si>
  <si>
    <t>REQ002 - REGISTRO DE PRODUCTOS</t>
  </si>
  <si>
    <t> </t>
  </si>
  <si>
    <t xml:space="preserve">Dia 7 </t>
  </si>
  <si>
    <t xml:space="preserve">Dia 6 </t>
  </si>
  <si>
    <t xml:space="preserve">Dia 5 </t>
  </si>
  <si>
    <t xml:space="preserve">Dia 4 </t>
  </si>
  <si>
    <t xml:space="preserve">Dia 3 </t>
  </si>
  <si>
    <t xml:space="preserve">Dia 2  </t>
  </si>
  <si>
    <t>REQ003 - GESTION DE PRODUCTOS</t>
  </si>
  <si>
    <t>0.5</t>
  </si>
  <si>
    <t>REQ004 - REGISTRO DE CLIENTES</t>
  </si>
  <si>
    <t xml:space="preserve">REQ005-ACTUALIZACION DE INFORMACION DE CLIENTES </t>
  </si>
  <si>
    <t xml:space="preserve">Dia 1 </t>
  </si>
  <si>
    <t>SPRINT 2  - Catalogo de Productos, Cumpleaños, Clientes Potenciales</t>
  </si>
  <si>
    <t>SUMA TOTAL SPRINT</t>
  </si>
  <si>
    <t>REQ006 - ALERTA DE FECHA DE CUMPLEAÑOS</t>
  </si>
  <si>
    <t>REQ007 -REGISTRO DE CLIENTES POTENCIALES</t>
  </si>
  <si>
    <t>REQ008 - GESTIÓN DE CLIENTES POTENCIALES</t>
  </si>
  <si>
    <t>REQ009 - GESTIÓN DE CLIENTES INACTIVOS</t>
  </si>
  <si>
    <t>SPRINT 3  -Ventas y reportes</t>
  </si>
  <si>
    <t xml:space="preserve">SUMA SPRINT </t>
  </si>
  <si>
    <t>REQ010 - CATALOGO DE PRODUCTOS</t>
  </si>
  <si>
    <t>REQ011 -REGISTRO DE VENTAS</t>
  </si>
  <si>
    <t>REQ012 -EMISION DE NOTA DE VENTA</t>
  </si>
  <si>
    <t>REQ013 -EXPORTACION DE REPORTES EN EXCEL</t>
  </si>
  <si>
    <t>HORAS ESTIMADAS POR SPRINT</t>
  </si>
  <si>
    <t>SPRINT-1 (REQ001 - REQ005</t>
  </si>
  <si>
    <t>SPRINT-2 (REQ006-REQ009)</t>
  </si>
  <si>
    <t>SPRINT-3 (REQ010-REQ013)</t>
  </si>
  <si>
    <t>FINALIZACION DE PROYECTO</t>
  </si>
  <si>
    <t>ETAPA</t>
  </si>
  <si>
    <t>Horas Estimadas Restantes</t>
  </si>
  <si>
    <t>Horas Restantes Reales</t>
  </si>
  <si>
    <t>Inicio de Proyecto</t>
  </si>
  <si>
    <t>Despues del Sprint 1</t>
  </si>
  <si>
    <t>Despues del Sprint 2</t>
  </si>
  <si>
    <t>Proyecto Finalizado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</si>
</sst>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0"/>
      <color rgb="FF000000"/>
      <name val="Arial"/>
      <scheme val="minor"/>
    </font>
    <font>
      <b/>
      <sz val="10"/>
      <color theme="1"/>
      <name val="Arial"/>
      <family val="2"/>
    </font>
    <font>
      <sz val="10"/>
      <color theme="1"/>
      <name val="Arial"/>
      <family val="2"/>
    </font>
    <font>
      <sz val="10"/>
      <name val="Arial"/>
      <family val="2"/>
    </font>
    <font>
      <sz val="10"/>
      <name val="Arial"/>
      <family val="2"/>
      <scheme val="minor"/>
    </font>
    <font>
      <sz val="10"/>
      <color theme="4"/>
      <name val="Arial"/>
      <family val="2"/>
    </font>
    <font>
      <sz val="8"/>
      <color rgb="FF000000"/>
      <name val="Times New Roman"/>
      <family val="1"/>
    </font>
    <font>
      <sz val="8"/>
      <color theme="4"/>
      <name val="Times New Roman"/>
      <family val="1"/>
    </font>
    <font>
      <sz val="10"/>
      <color rgb="FF000000"/>
      <name val="Arial"/>
      <family val="2"/>
      <scheme val="minor"/>
    </font>
    <font>
      <b/>
      <sz val="10"/>
      <color rgb="FF000000"/>
      <name val="Arial"/>
      <family val="2"/>
      <scheme val="minor"/>
    </font>
    <font>
      <sz val="10"/>
      <color theme="4"/>
      <name val="Arial"/>
      <family val="2"/>
      <scheme val="minor"/>
    </font>
    <font>
      <sz val="10"/>
      <color rgb="FF000000"/>
      <name val="Arial"/>
      <family val="2"/>
      <scheme val="minor"/>
    </font>
    <font>
      <sz val="11"/>
      <color rgb="FF000000"/>
      <name val="Inconsolata"/>
    </font>
    <font>
      <sz val="12"/>
      <color rgb="FF000000"/>
      <name val="Arial"/>
      <family val="2"/>
      <scheme val="minor"/>
    </font>
    <font>
      <sz val="10"/>
      <color rgb="FF000000"/>
      <name val="Arial"/>
      <family val="2"/>
    </font>
    <font>
      <sz val="11"/>
      <color rgb="FF242424"/>
      <name val="Aptos Narrow"/>
      <charset val="1"/>
    </font>
    <font>
      <sz val="8"/>
      <name val="Arial"/>
      <family val="2"/>
      <scheme val="minor"/>
    </font>
  </fonts>
  <fills count="11">
    <fill>
      <patternFill patternType="none"/>
    </fill>
    <fill>
      <patternFill patternType="gray125"/>
    </fill>
    <fill>
      <patternFill patternType="solid">
        <fgColor rgb="FF9FC5E8"/>
        <bgColor rgb="FF9FC5E8"/>
      </patternFill>
    </fill>
    <fill>
      <patternFill patternType="solid">
        <fgColor rgb="FFFFFF00"/>
        <bgColor indexed="64"/>
      </patternFill>
    </fill>
    <fill>
      <patternFill patternType="solid">
        <fgColor theme="7" tint="0.39997558519241921"/>
        <bgColor indexed="64"/>
      </patternFill>
    </fill>
    <fill>
      <patternFill patternType="solid">
        <fgColor rgb="FF00FF00"/>
        <bgColor indexed="64"/>
      </patternFill>
    </fill>
    <fill>
      <patternFill patternType="solid">
        <fgColor rgb="FFFFD966"/>
        <bgColor rgb="FFFFD966"/>
      </patternFill>
    </fill>
    <fill>
      <patternFill patternType="solid">
        <fgColor rgb="FFFFFFFF"/>
        <bgColor rgb="FFFFFFFF"/>
      </patternFill>
    </fill>
    <fill>
      <patternFill patternType="solid">
        <fgColor rgb="FFFFD966"/>
        <bgColor rgb="FF000000"/>
      </patternFill>
    </fill>
    <fill>
      <patternFill patternType="solid">
        <fgColor theme="4" tint="0.59999389629810485"/>
        <bgColor indexed="64"/>
      </patternFill>
    </fill>
    <fill>
      <patternFill patternType="solid">
        <fgColor theme="0"/>
        <bgColor indexed="64"/>
      </patternFill>
    </fill>
  </fills>
  <borders count="15">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s>
  <cellStyleXfs count="6">
    <xf numFmtId="0" fontId="0" fillId="0" borderId="0"/>
    <xf numFmtId="0" fontId="11" fillId="0" borderId="1"/>
    <xf numFmtId="0" fontId="11" fillId="0" borderId="1"/>
    <xf numFmtId="0" fontId="11" fillId="0" borderId="1"/>
    <xf numFmtId="0" fontId="11" fillId="0" borderId="1"/>
    <xf numFmtId="0" fontId="11" fillId="0" borderId="1"/>
  </cellStyleXfs>
  <cellXfs count="102">
    <xf numFmtId="0" fontId="0" fillId="0" borderId="0" xfId="0"/>
    <xf numFmtId="0" fontId="0" fillId="0" borderId="1" xfId="0" applyBorder="1"/>
    <xf numFmtId="0" fontId="11" fillId="0" borderId="1" xfId="1"/>
    <xf numFmtId="0" fontId="2" fillId="0" borderId="1" xfId="1" applyFont="1"/>
    <xf numFmtId="0" fontId="11" fillId="0" borderId="1" xfId="1" applyAlignment="1">
      <alignment wrapText="1"/>
    </xf>
    <xf numFmtId="0" fontId="14" fillId="0" borderId="0" xfId="0" applyFont="1" applyAlignment="1">
      <alignment horizontal="center" vertical="center"/>
    </xf>
    <xf numFmtId="2" fontId="11" fillId="0" borderId="2" xfId="1" applyNumberFormat="1" applyBorder="1" applyAlignment="1">
      <alignment horizontal="center" vertical="center"/>
    </xf>
    <xf numFmtId="0" fontId="14" fillId="0" borderId="2" xfId="0" applyFont="1" applyBorder="1" applyAlignment="1">
      <alignment horizontal="center" vertical="center"/>
    </xf>
    <xf numFmtId="0" fontId="14" fillId="8" borderId="2" xfId="0" applyFont="1" applyFill="1" applyBorder="1" applyAlignment="1">
      <alignment horizontal="center" vertical="center"/>
    </xf>
    <xf numFmtId="0" fontId="14" fillId="0" borderId="2" xfId="0" applyFont="1" applyBorder="1" applyAlignment="1">
      <alignment horizontal="center" vertical="center" wrapText="1"/>
    </xf>
    <xf numFmtId="0" fontId="12" fillId="7" borderId="2" xfId="0" applyFont="1" applyFill="1" applyBorder="1" applyAlignment="1">
      <alignment horizontal="center" vertical="center" wrapText="1"/>
    </xf>
    <xf numFmtId="0" fontId="14" fillId="0" borderId="1" xfId="0" applyFont="1" applyBorder="1" applyAlignment="1">
      <alignment horizontal="center" vertical="center"/>
    </xf>
    <xf numFmtId="0" fontId="14" fillId="0" borderId="7" xfId="0" applyFont="1" applyBorder="1" applyAlignment="1">
      <alignment horizontal="center" vertical="center"/>
    </xf>
    <xf numFmtId="0" fontId="15" fillId="0" borderId="0" xfId="0" applyFont="1"/>
    <xf numFmtId="0" fontId="12" fillId="7" borderId="8" xfId="0" applyFont="1" applyFill="1" applyBorder="1" applyAlignment="1">
      <alignment horizontal="center" vertical="center" wrapText="1"/>
    </xf>
    <xf numFmtId="0" fontId="14" fillId="0" borderId="3" xfId="0" applyFont="1" applyBorder="1" applyAlignment="1">
      <alignment horizontal="center" vertical="center" wrapText="1"/>
    </xf>
    <xf numFmtId="0" fontId="11" fillId="3" borderId="4" xfId="1" applyFill="1" applyBorder="1"/>
    <xf numFmtId="0" fontId="1" fillId="0" borderId="4" xfId="1" applyFont="1" applyBorder="1" applyAlignment="1">
      <alignment horizontal="center"/>
    </xf>
    <xf numFmtId="0" fontId="2" fillId="2" borderId="4" xfId="1" applyFont="1" applyFill="1" applyBorder="1"/>
    <xf numFmtId="0" fontId="2" fillId="2" borderId="4" xfId="1" applyFont="1" applyFill="1" applyBorder="1" applyAlignment="1">
      <alignment horizontal="left" wrapText="1"/>
    </xf>
    <xf numFmtId="0" fontId="2" fillId="0" borderId="4" xfId="1" applyFont="1" applyBorder="1"/>
    <xf numFmtId="0" fontId="1" fillId="0" borderId="4" xfId="1" applyFont="1" applyBorder="1"/>
    <xf numFmtId="0" fontId="5" fillId="0" borderId="4" xfId="1" applyFont="1" applyBorder="1"/>
    <xf numFmtId="0" fontId="11" fillId="0" borderId="4" xfId="1" applyBorder="1"/>
    <xf numFmtId="0" fontId="5" fillId="0" borderId="4" xfId="1" applyFont="1" applyBorder="1" applyAlignment="1">
      <alignment horizontal="left" vertical="top"/>
    </xf>
    <xf numFmtId="0" fontId="2" fillId="2" borderId="4" xfId="1" applyFont="1" applyFill="1" applyBorder="1" applyAlignment="1">
      <alignment wrapText="1"/>
    </xf>
    <xf numFmtId="0" fontId="9" fillId="0" borderId="4" xfId="1" applyFont="1" applyBorder="1"/>
    <xf numFmtId="0" fontId="11" fillId="0" borderId="13" xfId="1" applyBorder="1"/>
    <xf numFmtId="0" fontId="2" fillId="0" borderId="13" xfId="1" applyFont="1" applyBorder="1"/>
    <xf numFmtId="0" fontId="11" fillId="3" borderId="2" xfId="1" applyFill="1" applyBorder="1"/>
    <xf numFmtId="0" fontId="2" fillId="2" borderId="6" xfId="1" applyFont="1" applyFill="1" applyBorder="1"/>
    <xf numFmtId="0" fontId="2" fillId="2" borderId="6" xfId="1" applyFont="1" applyFill="1" applyBorder="1" applyAlignment="1">
      <alignment horizontal="left" wrapText="1"/>
    </xf>
    <xf numFmtId="0" fontId="2" fillId="2" borderId="6" xfId="1" applyFont="1" applyFill="1" applyBorder="1" applyAlignment="1">
      <alignment wrapText="1"/>
    </xf>
    <xf numFmtId="0" fontId="11" fillId="0" borderId="2" xfId="1" applyBorder="1"/>
    <xf numFmtId="0" fontId="5" fillId="0" borderId="2" xfId="1" applyFont="1" applyBorder="1"/>
    <xf numFmtId="0" fontId="2" fillId="2" borderId="2" xfId="1" applyFont="1" applyFill="1" applyBorder="1"/>
    <xf numFmtId="0" fontId="2" fillId="2" borderId="2" xfId="1" applyFont="1" applyFill="1" applyBorder="1" applyAlignment="1">
      <alignment horizontal="left" wrapText="1"/>
    </xf>
    <xf numFmtId="0" fontId="2" fillId="2" borderId="2" xfId="1" applyFont="1" applyFill="1" applyBorder="1" applyAlignment="1">
      <alignment wrapText="1"/>
    </xf>
    <xf numFmtId="0" fontId="1" fillId="0" borderId="2" xfId="1" applyFont="1" applyBorder="1"/>
    <xf numFmtId="0" fontId="2" fillId="0" borderId="2" xfId="1" applyFont="1" applyBorder="1"/>
    <xf numFmtId="0" fontId="9" fillId="0" borderId="2" xfId="1" applyFont="1" applyBorder="1"/>
    <xf numFmtId="0" fontId="10" fillId="0" borderId="2" xfId="1" applyFont="1" applyBorder="1"/>
    <xf numFmtId="0" fontId="3" fillId="0" borderId="1" xfId="1" applyFont="1"/>
    <xf numFmtId="0" fontId="4" fillId="0" borderId="1" xfId="1" applyFont="1"/>
    <xf numFmtId="0" fontId="1" fillId="0" borderId="3" xfId="2" applyFont="1" applyBorder="1" applyAlignment="1">
      <alignment horizontal="center"/>
    </xf>
    <xf numFmtId="0" fontId="6" fillId="0" borderId="2" xfId="2" applyFont="1" applyBorder="1" applyAlignment="1">
      <alignment horizontal="center" vertical="center" wrapText="1"/>
    </xf>
    <xf numFmtId="0" fontId="6" fillId="0" borderId="2" xfId="2" applyFont="1" applyBorder="1" applyAlignment="1">
      <alignment horizontal="center" wrapText="1"/>
    </xf>
    <xf numFmtId="0" fontId="7" fillId="0" borderId="2" xfId="2" applyFont="1" applyBorder="1" applyAlignment="1">
      <alignment horizontal="center" vertical="center" wrapText="1"/>
    </xf>
    <xf numFmtId="0" fontId="6" fillId="0" borderId="2" xfId="3" applyFont="1" applyBorder="1" applyAlignment="1">
      <alignment horizontal="center" vertical="center" wrapText="1"/>
    </xf>
    <xf numFmtId="0" fontId="7" fillId="0" borderId="2" xfId="3" applyFont="1" applyBorder="1" applyAlignment="1">
      <alignment horizontal="center" vertical="center" wrapText="1"/>
    </xf>
    <xf numFmtId="0" fontId="2" fillId="0" borderId="2" xfId="1" applyFont="1" applyBorder="1" applyAlignment="1">
      <alignment horizontal="center" vertical="center"/>
    </xf>
    <xf numFmtId="0" fontId="11" fillId="4" borderId="2" xfId="1" applyFill="1" applyBorder="1" applyAlignment="1">
      <alignment horizontal="center" vertical="center"/>
    </xf>
    <xf numFmtId="0" fontId="11" fillId="5" borderId="2" xfId="1" applyFill="1" applyBorder="1" applyAlignment="1">
      <alignment horizontal="center" vertical="center"/>
    </xf>
    <xf numFmtId="0" fontId="2" fillId="6" borderId="2" xfId="1" applyFont="1" applyFill="1" applyBorder="1" applyAlignment="1">
      <alignment horizontal="center" vertical="center"/>
    </xf>
    <xf numFmtId="0" fontId="11" fillId="0" borderId="1" xfId="1" applyAlignment="1">
      <alignment horizontal="center" vertical="center"/>
    </xf>
    <xf numFmtId="0" fontId="2" fillId="2" borderId="2" xfId="5" applyFont="1" applyFill="1" applyBorder="1"/>
    <xf numFmtId="0" fontId="2" fillId="2" borderId="2" xfId="5" applyFont="1" applyFill="1" applyBorder="1" applyAlignment="1">
      <alignment horizontal="left" wrapText="1"/>
    </xf>
    <xf numFmtId="0" fontId="2" fillId="2" borderId="2" xfId="5" applyFont="1" applyFill="1" applyBorder="1" applyAlignment="1">
      <alignment wrapText="1"/>
    </xf>
    <xf numFmtId="0" fontId="11" fillId="0" borderId="2" xfId="5" applyBorder="1"/>
    <xf numFmtId="0" fontId="1" fillId="0" borderId="2" xfId="5" applyFont="1" applyBorder="1"/>
    <xf numFmtId="0" fontId="2" fillId="0" borderId="2" xfId="5" applyFont="1" applyBorder="1"/>
    <xf numFmtId="0" fontId="11" fillId="0" borderId="2" xfId="1" applyBorder="1" applyAlignment="1">
      <alignment horizontal="center" vertical="center"/>
    </xf>
    <xf numFmtId="0" fontId="2" fillId="0" borderId="4" xfId="1" applyFont="1" applyBorder="1" applyAlignment="1">
      <alignment horizontal="left"/>
    </xf>
    <xf numFmtId="0" fontId="8" fillId="9" borderId="2" xfId="3" applyFont="1" applyFill="1" applyBorder="1" applyAlignment="1">
      <alignment horizontal="left" vertical="center" wrapText="1"/>
    </xf>
    <xf numFmtId="0" fontId="8" fillId="0" borderId="2" xfId="1" applyFont="1" applyBorder="1"/>
    <xf numFmtId="0" fontId="8" fillId="0" borderId="2" xfId="1" applyFont="1" applyBorder="1" applyAlignment="1">
      <alignment wrapText="1"/>
    </xf>
    <xf numFmtId="0" fontId="0" fillId="5" borderId="2" xfId="1" applyFont="1" applyFill="1" applyBorder="1" applyAlignment="1">
      <alignment horizontal="center" vertical="center"/>
    </xf>
    <xf numFmtId="0" fontId="0" fillId="0" borderId="2" xfId="1" applyFont="1" applyBorder="1" applyAlignment="1">
      <alignment horizontal="center" vertical="center"/>
    </xf>
    <xf numFmtId="0" fontId="0" fillId="4" borderId="2" xfId="1" applyFont="1" applyFill="1" applyBorder="1" applyAlignment="1">
      <alignment horizontal="center" vertical="center"/>
    </xf>
    <xf numFmtId="2" fontId="0" fillId="0" borderId="2" xfId="1" applyNumberFormat="1" applyFont="1" applyBorder="1" applyAlignment="1">
      <alignment horizontal="center" vertical="center"/>
    </xf>
    <xf numFmtId="0" fontId="14" fillId="6" borderId="2" xfId="0" applyFont="1" applyFill="1" applyBorder="1" applyAlignment="1">
      <alignment horizontal="center" vertical="center"/>
    </xf>
    <xf numFmtId="0" fontId="14" fillId="0" borderId="5" xfId="0" applyFont="1" applyBorder="1" applyAlignment="1">
      <alignment horizontal="center" vertical="center"/>
    </xf>
    <xf numFmtId="0" fontId="14" fillId="0" borderId="9" xfId="0" applyFont="1" applyBorder="1" applyAlignment="1">
      <alignment horizontal="center" vertical="center" wrapText="1"/>
    </xf>
    <xf numFmtId="0" fontId="14" fillId="6" borderId="2" xfId="0" applyFont="1" applyFill="1" applyBorder="1" applyAlignment="1">
      <alignment horizontal="center" vertical="center" wrapText="1"/>
    </xf>
    <xf numFmtId="0" fontId="14" fillId="0" borderId="6" xfId="0" applyFont="1" applyBorder="1" applyAlignment="1">
      <alignment horizontal="center" vertical="center" wrapText="1"/>
    </xf>
    <xf numFmtId="11" fontId="14" fillId="0" borderId="2" xfId="0" applyNumberFormat="1" applyFont="1" applyBorder="1" applyAlignment="1">
      <alignment horizontal="center" vertical="center"/>
    </xf>
    <xf numFmtId="0" fontId="0" fillId="0" borderId="1" xfId="1" applyFont="1" applyAlignment="1">
      <alignment horizontal="center" vertical="center"/>
    </xf>
    <xf numFmtId="0" fontId="0" fillId="0" borderId="1" xfId="1" applyFont="1"/>
    <xf numFmtId="0" fontId="11" fillId="0" borderId="6" xfId="1" applyBorder="1"/>
    <xf numFmtId="0" fontId="0" fillId="0" borderId="0" xfId="1" applyFont="1" applyBorder="1"/>
    <xf numFmtId="0" fontId="0" fillId="0" borderId="1" xfId="1" applyFont="1" applyAlignment="1">
      <alignment wrapText="1"/>
    </xf>
    <xf numFmtId="0" fontId="11" fillId="10" borderId="2" xfId="1" applyFill="1" applyBorder="1"/>
    <xf numFmtId="0" fontId="8" fillId="10" borderId="2" xfId="1" applyFont="1" applyFill="1" applyBorder="1"/>
    <xf numFmtId="0" fontId="0" fillId="0" borderId="2" xfId="1" applyFont="1" applyBorder="1" applyAlignment="1">
      <alignment horizontal="center"/>
    </xf>
    <xf numFmtId="0" fontId="13" fillId="0" borderId="1" xfId="1" applyFont="1" applyAlignment="1">
      <alignment horizontal="left" vertical="center" wrapText="1"/>
    </xf>
    <xf numFmtId="0" fontId="0" fillId="0" borderId="1" xfId="1" applyFont="1" applyAlignment="1">
      <alignment horizontal="center"/>
    </xf>
    <xf numFmtId="0" fontId="11" fillId="0" borderId="2" xfId="1" applyBorder="1" applyAlignment="1">
      <alignment horizontal="center" vertical="center"/>
    </xf>
    <xf numFmtId="0" fontId="11" fillId="0" borderId="2" xfId="1" applyBorder="1" applyAlignment="1">
      <alignment horizontal="center"/>
    </xf>
    <xf numFmtId="0" fontId="0" fillId="0" borderId="5" xfId="1" applyFont="1" applyBorder="1" applyAlignment="1">
      <alignment horizontal="center"/>
    </xf>
    <xf numFmtId="0" fontId="0" fillId="0" borderId="14" xfId="1" applyFont="1" applyBorder="1" applyAlignment="1">
      <alignment horizontal="center"/>
    </xf>
    <xf numFmtId="0" fontId="0" fillId="0" borderId="8" xfId="1" applyFont="1" applyBorder="1" applyAlignment="1">
      <alignment horizontal="center"/>
    </xf>
    <xf numFmtId="0" fontId="2" fillId="0" borderId="4" xfId="1" applyFont="1" applyBorder="1" applyAlignment="1">
      <alignment horizontal="left"/>
    </xf>
    <xf numFmtId="0" fontId="8" fillId="3" borderId="10" xfId="1" applyFont="1" applyFill="1" applyBorder="1" applyAlignment="1">
      <alignment horizontal="left" vertical="center" wrapText="1"/>
    </xf>
    <xf numFmtId="0" fontId="8" fillId="3" borderId="11" xfId="1" applyFont="1" applyFill="1" applyBorder="1" applyAlignment="1">
      <alignment horizontal="left" vertical="center" wrapText="1"/>
    </xf>
    <xf numFmtId="0" fontId="8" fillId="3" borderId="12" xfId="1" applyFont="1" applyFill="1" applyBorder="1" applyAlignment="1">
      <alignment horizontal="left" vertical="center" wrapText="1"/>
    </xf>
    <xf numFmtId="0" fontId="8" fillId="3" borderId="2" xfId="1" applyFont="1" applyFill="1" applyBorder="1" applyAlignment="1">
      <alignment horizontal="left" vertical="center" wrapText="1"/>
    </xf>
    <xf numFmtId="0" fontId="0" fillId="0" borderId="2" xfId="1" applyFont="1" applyBorder="1" applyAlignment="1">
      <alignment horizontal="center" vertical="center"/>
    </xf>
    <xf numFmtId="0" fontId="11" fillId="0" borderId="5" xfId="1" applyBorder="1" applyAlignment="1">
      <alignment horizontal="center" vertical="center"/>
    </xf>
    <xf numFmtId="0" fontId="11" fillId="0" borderId="14" xfId="1" applyBorder="1" applyAlignment="1">
      <alignment horizontal="center" vertical="center"/>
    </xf>
    <xf numFmtId="0" fontId="11" fillId="0" borderId="8" xfId="1" applyBorder="1" applyAlignment="1">
      <alignment horizontal="center" vertical="center"/>
    </xf>
    <xf numFmtId="0" fontId="3" fillId="0" borderId="4" xfId="1" applyFont="1" applyBorder="1" applyAlignment="1"/>
    <xf numFmtId="0" fontId="4" fillId="0" borderId="4" xfId="1" applyFont="1" applyBorder="1" applyAlignment="1"/>
  </cellXfs>
  <cellStyles count="6">
    <cellStyle name="Normal" xfId="0" builtinId="0"/>
    <cellStyle name="Normal 2" xfId="1" xr:uid="{27F413C8-0966-4A49-84BA-E7F5075EB20D}"/>
    <cellStyle name="Normal 3" xfId="2" xr:uid="{35736307-809D-4C30-9AFE-6C8726CC5C49}"/>
    <cellStyle name="Normal 4" xfId="3" xr:uid="{FDA1A4AB-0E0D-4811-84A6-DE8F796DFFEC}"/>
    <cellStyle name="Normal 5" xfId="4" xr:uid="{5AE2B4F0-221A-4A83-8946-689A92C7494A}"/>
    <cellStyle name="Normal 6" xfId="5" xr:uid="{71CAFE90-95FC-4A82-AC1F-5B13F0F60C12}"/>
  </cellStyles>
  <dxfs count="5">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tableStyle name="burdonchart-style" pivot="0" count="3" xr9:uid="{00000000-0011-0000-FFFF-FFFF00000000}">
      <tableStyleElement type="headerRow" dxfId="4"/>
      <tableStyleElement type="firstRowStripe" dxfId="3"/>
      <tableStyleElement type="secondRowStripe" dxfId="2"/>
    </tableStyle>
    <tableStyle name="burdonchart-style 2" pivot="0" count="2" xr9:uid="{00000000-0011-0000-FFFF-FFFF01000000}">
      <tableStyleElement type="firstRowStripe" dxfId="1"/>
      <tableStyleElement type="secondRowStripe" dxfId="0"/>
    </tableStyle>
  </tableStyles>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'burdonchart - 1'!$B$11</c:f>
              <c:strCache>
                <c:ptCount val="1"/>
                <c:pt idx="0">
                  <c:v>Horas Estimadas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'burdonchart - 1'!$B$11:$J$11</c:f>
              <c:numCache>
                <c:formatCode>General</c:formatCode>
                <c:ptCount val="9"/>
                <c:pt idx="0">
                  <c:v>0</c:v>
                </c:pt>
                <c:pt idx="1">
                  <c:v>11.5</c:v>
                </c:pt>
                <c:pt idx="2">
                  <c:v>3.5</c:v>
                </c:pt>
                <c:pt idx="3">
                  <c:v>2</c:v>
                </c:pt>
                <c:pt idx="4">
                  <c:v>1</c:v>
                </c:pt>
                <c:pt idx="5">
                  <c:v>3</c:v>
                </c:pt>
                <c:pt idx="6">
                  <c:v>1</c:v>
                </c:pt>
                <c:pt idx="7">
                  <c:v>2</c:v>
                </c:pt>
                <c:pt idx="8">
                  <c:v>1</c:v>
                </c:pt>
              </c:numCache>
            </c:numRef>
          </c:val>
          <c:smooth val="0"/>
          <c:extLst>
            <c:ext xmlns:c16="http://schemas.microsoft.com/office/drawing/2014/chart" uri="{C3380CC4-5D6E-409C-BE32-E72D297353CC}">
              <c16:uniqueId val="{00000000-B5AF-4DB7-87C6-9E08B9664CAE}"/>
            </c:ext>
          </c:extLst>
        </c:ser>
        <c:ser>
          <c:idx val="1"/>
          <c:order val="1"/>
          <c:tx>
            <c:strRef>
              <c:f>'burdonchart - 1'!$B$12</c:f>
              <c:strCache>
                <c:ptCount val="1"/>
                <c:pt idx="0">
                  <c:v>Horas Estimadas
Restantes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'burdonchart - 1'!$B$12:$J$12</c:f>
              <c:numCache>
                <c:formatCode>General</c:formatCode>
                <c:ptCount val="9"/>
                <c:pt idx="0">
                  <c:v>0</c:v>
                </c:pt>
                <c:pt idx="1">
                  <c:v>11.5</c:v>
                </c:pt>
                <c:pt idx="2">
                  <c:v>9.8571428571428577</c:v>
                </c:pt>
                <c:pt idx="3">
                  <c:v>8.2142857142857153</c:v>
                </c:pt>
                <c:pt idx="4">
                  <c:v>6.571428571428573</c:v>
                </c:pt>
                <c:pt idx="5">
                  <c:v>4.9285714285714306</c:v>
                </c:pt>
                <c:pt idx="6">
                  <c:v>3.2857142857142878</c:v>
                </c:pt>
                <c:pt idx="7">
                  <c:v>1.642857142857145</c:v>
                </c:pt>
                <c:pt idx="8">
                  <c:v>2.2204460492503131E-15</c:v>
                </c:pt>
              </c:numCache>
            </c:numRef>
          </c:val>
          <c:smooth val="0"/>
          <c:extLst>
            <c:ext xmlns:c16="http://schemas.microsoft.com/office/drawing/2014/chart" uri="{C3380CC4-5D6E-409C-BE32-E72D297353CC}">
              <c16:uniqueId val="{00000001-B5AF-4DB7-87C6-9E08B9664CAE}"/>
            </c:ext>
          </c:extLst>
        </c:ser>
        <c:dLbls>
          <c:showLegendKey val="0"/>
          <c:showVal val="0"/>
          <c:showCatName val="0"/>
          <c:showSerName val="0"/>
          <c:showPercent val="0"/>
          <c:showBubbleSize val="0"/>
        </c:dLbls>
        <c:marker val="1"/>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21089006"/>
        <c:crosses val="autoZero"/>
        <c:crossBetween val="between"/>
      </c:valAx>
      <c:spPr>
        <a:noFill/>
        <a:ln>
          <a:noFill/>
        </a:ln>
        <a:effectLst/>
      </c:spPr>
    </c:plotArea>
    <c:legend>
      <c:legendPos val="b"/>
      <c:layout>
        <c:manualLayout>
          <c:xMode val="edge"/>
          <c:yMode val="edge"/>
          <c:x val="0.33691280379510935"/>
          <c:y val="6.4945407791754339E-2"/>
          <c:w val="0.32647177466278937"/>
          <c:h val="9.00915732012691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3570118071"/>
          <c:y val="8.4851710667693675E-2"/>
          <c:w val="0.85725389638909499"/>
          <c:h val="0.89700310797858562"/>
        </c:manualLayout>
      </c:layout>
      <c:lineChart>
        <c:grouping val="standard"/>
        <c:varyColors val="1"/>
        <c:ser>
          <c:idx val="0"/>
          <c:order val="0"/>
          <c:tx>
            <c:strRef>
              <c:f>'burdonchart - 1'!$B$39</c:f>
              <c:strCache>
                <c:ptCount val="1"/>
                <c:pt idx="0">
                  <c:v>Horas Estimadas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'burdonchart - 1'!$C$39:$J$39</c:f>
              <c:numCache>
                <c:formatCode>General</c:formatCode>
                <c:ptCount val="8"/>
                <c:pt idx="0">
                  <c:v>11</c:v>
                </c:pt>
                <c:pt idx="1">
                  <c:v>4.5</c:v>
                </c:pt>
                <c:pt idx="2">
                  <c:v>2.5</c:v>
                </c:pt>
                <c:pt idx="3">
                  <c:v>1</c:v>
                </c:pt>
                <c:pt idx="4">
                  <c:v>2.5</c:v>
                </c:pt>
                <c:pt idx="5">
                  <c:v>0</c:v>
                </c:pt>
                <c:pt idx="6">
                  <c:v>0</c:v>
                </c:pt>
                <c:pt idx="7">
                  <c:v>1</c:v>
                </c:pt>
              </c:numCache>
            </c:numRef>
          </c:val>
          <c:smooth val="0"/>
          <c:extLst>
            <c:ext xmlns:c16="http://schemas.microsoft.com/office/drawing/2014/chart" uri="{C3380CC4-5D6E-409C-BE32-E72D297353CC}">
              <c16:uniqueId val="{00000000-B917-4C94-B775-40E76D57638E}"/>
            </c:ext>
          </c:extLst>
        </c:ser>
        <c:ser>
          <c:idx val="1"/>
          <c:order val="1"/>
          <c:tx>
            <c:strRef>
              <c:f>'burdonchart - 1'!$B$40</c:f>
              <c:strCache>
                <c:ptCount val="1"/>
                <c:pt idx="0">
                  <c:v>Horas Estimadas
Restantes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'burdonchart - 1'!$C$40:$J$40</c:f>
              <c:numCache>
                <c:formatCode>General</c:formatCode>
                <c:ptCount val="8"/>
                <c:pt idx="0">
                  <c:v>11</c:v>
                </c:pt>
                <c:pt idx="1">
                  <c:v>9.4285714285714288</c:v>
                </c:pt>
                <c:pt idx="2">
                  <c:v>7.8571428571428577</c:v>
                </c:pt>
                <c:pt idx="3">
                  <c:v>6.2857142857142865</c:v>
                </c:pt>
                <c:pt idx="4">
                  <c:v>4.7142857142857153</c:v>
                </c:pt>
                <c:pt idx="5">
                  <c:v>3.1428571428571441</c:v>
                </c:pt>
                <c:pt idx="6">
                  <c:v>1.5714285714285727</c:v>
                </c:pt>
                <c:pt idx="7">
                  <c:v>0</c:v>
                </c:pt>
              </c:numCache>
            </c:numRef>
          </c:val>
          <c:smooth val="0"/>
          <c:extLst>
            <c:ext xmlns:c16="http://schemas.microsoft.com/office/drawing/2014/chart" uri="{C3380CC4-5D6E-409C-BE32-E72D297353CC}">
              <c16:uniqueId val="{00000001-B917-4C94-B775-40E76D57638E}"/>
            </c:ext>
          </c:extLst>
        </c:ser>
        <c:dLbls>
          <c:showLegendKey val="0"/>
          <c:showVal val="0"/>
          <c:showCatName val="0"/>
          <c:showSerName val="0"/>
          <c:showPercent val="0"/>
          <c:showBubbleSize val="0"/>
        </c:dLbls>
        <c:marker val="1"/>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21089006"/>
        <c:crosses val="autoZero"/>
        <c:crossBetween val="between"/>
      </c:valAx>
      <c:spPr>
        <a:noFill/>
        <a:ln>
          <a:noFill/>
        </a:ln>
        <a:effectLst/>
      </c:spPr>
    </c:plotArea>
    <c:legend>
      <c:legendPos val="b"/>
      <c:layout>
        <c:manualLayout>
          <c:xMode val="edge"/>
          <c:yMode val="edge"/>
          <c:x val="0.37978847313259284"/>
          <c:y val="9.4015285988905004E-2"/>
          <c:w val="0.34655011683084264"/>
          <c:h val="9.35202726582329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3570118071"/>
          <c:y val="8.4851710667693675E-2"/>
          <c:w val="0.85725389638909499"/>
          <c:h val="0.89700310797858562"/>
        </c:manualLayout>
      </c:layout>
      <c:lineChart>
        <c:grouping val="standard"/>
        <c:varyColors val="1"/>
        <c:ser>
          <c:idx val="0"/>
          <c:order val="0"/>
          <c:tx>
            <c:strRef>
              <c:f>'burdonchart - 1'!$B$125</c:f>
              <c:strCache>
                <c:ptCount val="1"/>
                <c:pt idx="0">
                  <c:v>Horas Estimadas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'burdonchart - 1'!$C$125:$J$125</c:f>
              <c:numCache>
                <c:formatCode>General</c:formatCode>
                <c:ptCount val="8"/>
                <c:pt idx="0">
                  <c:v>5.5</c:v>
                </c:pt>
                <c:pt idx="1">
                  <c:v>5</c:v>
                </c:pt>
                <c:pt idx="2">
                  <c:v>2</c:v>
                </c:pt>
                <c:pt idx="3">
                  <c:v>3</c:v>
                </c:pt>
                <c:pt idx="4">
                  <c:v>0</c:v>
                </c:pt>
                <c:pt idx="5">
                  <c:v>0</c:v>
                </c:pt>
                <c:pt idx="6">
                  <c:v>0</c:v>
                </c:pt>
                <c:pt idx="7">
                  <c:v>0</c:v>
                </c:pt>
              </c:numCache>
            </c:numRef>
          </c:val>
          <c:smooth val="0"/>
          <c:extLst>
            <c:ext xmlns:c16="http://schemas.microsoft.com/office/drawing/2014/chart" uri="{C3380CC4-5D6E-409C-BE32-E72D297353CC}">
              <c16:uniqueId val="{00000000-73D4-438C-9DD7-6E38D5B4F171}"/>
            </c:ext>
          </c:extLst>
        </c:ser>
        <c:ser>
          <c:idx val="1"/>
          <c:order val="1"/>
          <c:tx>
            <c:strRef>
              <c:f>'burdonchart - 1'!$B$126</c:f>
              <c:strCache>
                <c:ptCount val="1"/>
                <c:pt idx="0">
                  <c:v>Horas Estimadas
Restantes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'burdonchart - 1'!$C$126:$J$126</c:f>
              <c:numCache>
                <c:formatCode>General</c:formatCode>
                <c:ptCount val="8"/>
                <c:pt idx="0">
                  <c:v>5.5</c:v>
                </c:pt>
                <c:pt idx="1">
                  <c:v>4.7142857142857144</c:v>
                </c:pt>
                <c:pt idx="2">
                  <c:v>3.9285714285714288</c:v>
                </c:pt>
                <c:pt idx="3">
                  <c:v>3.1428571428571432</c:v>
                </c:pt>
                <c:pt idx="4">
                  <c:v>2.3571428571428577</c:v>
                </c:pt>
                <c:pt idx="5">
                  <c:v>1.5714285714285721</c:v>
                </c:pt>
                <c:pt idx="6">
                  <c:v>0.78571428571428636</c:v>
                </c:pt>
                <c:pt idx="7">
                  <c:v>0</c:v>
                </c:pt>
              </c:numCache>
            </c:numRef>
          </c:val>
          <c:smooth val="0"/>
          <c:extLst>
            <c:ext xmlns:c16="http://schemas.microsoft.com/office/drawing/2014/chart" uri="{C3380CC4-5D6E-409C-BE32-E72D297353CC}">
              <c16:uniqueId val="{00000001-73D4-438C-9DD7-6E38D5B4F171}"/>
            </c:ext>
          </c:extLst>
        </c:ser>
        <c:dLbls>
          <c:showLegendKey val="0"/>
          <c:showVal val="0"/>
          <c:showCatName val="0"/>
          <c:showSerName val="0"/>
          <c:showPercent val="0"/>
          <c:showBubbleSize val="0"/>
        </c:dLbls>
        <c:marker val="1"/>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2108900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3570118071"/>
          <c:y val="8.4851710667693675E-2"/>
          <c:w val="0.85725389638909499"/>
          <c:h val="0.89700310797858562"/>
        </c:manualLayout>
      </c:layout>
      <c:lineChart>
        <c:grouping val="standard"/>
        <c:varyColors val="1"/>
        <c:ser>
          <c:idx val="0"/>
          <c:order val="0"/>
          <c:tx>
            <c:strRef>
              <c:f>'burdonchart - 1'!$B$66</c:f>
              <c:strCache>
                <c:ptCount val="1"/>
                <c:pt idx="0">
                  <c:v>Horas Estimadas</c:v>
                </c:pt>
              </c:strCache>
            </c:strRef>
          </c:tx>
          <c:marker>
            <c:symbol val="none"/>
          </c:marker>
          <c:val>
            <c:numRef>
              <c:f>'burdonchart - 1'!$C$66:$J$66</c:f>
              <c:numCache>
                <c:formatCode>General</c:formatCode>
                <c:ptCount val="8"/>
                <c:pt idx="0">
                  <c:v>11</c:v>
                </c:pt>
                <c:pt idx="1">
                  <c:v>1</c:v>
                </c:pt>
                <c:pt idx="2">
                  <c:v>3.5</c:v>
                </c:pt>
                <c:pt idx="3">
                  <c:v>2.5</c:v>
                </c:pt>
                <c:pt idx="4">
                  <c:v>1.5</c:v>
                </c:pt>
                <c:pt idx="5">
                  <c:v>2</c:v>
                </c:pt>
                <c:pt idx="6">
                  <c:v>1</c:v>
                </c:pt>
                <c:pt idx="7">
                  <c:v>1</c:v>
                </c:pt>
              </c:numCache>
            </c:numRef>
          </c:val>
          <c:smooth val="0"/>
          <c:extLst>
            <c:ext xmlns:c16="http://schemas.microsoft.com/office/drawing/2014/chart" uri="{C3380CC4-5D6E-409C-BE32-E72D297353CC}">
              <c16:uniqueId val="{00000000-2C30-4E4C-9DCA-D2AE3F41A97D}"/>
            </c:ext>
          </c:extLst>
        </c:ser>
        <c:ser>
          <c:idx val="1"/>
          <c:order val="1"/>
          <c:tx>
            <c:strRef>
              <c:f>'burdonchart - 1'!$B$67</c:f>
              <c:strCache>
                <c:ptCount val="1"/>
                <c:pt idx="0">
                  <c:v>Horas Estimadas
Restantes</c:v>
                </c:pt>
              </c:strCache>
            </c:strRef>
          </c:tx>
          <c:marker>
            <c:symbol val="none"/>
          </c:marker>
          <c:val>
            <c:numRef>
              <c:f>'burdonchart - 1'!$C$67:$J$67</c:f>
              <c:numCache>
                <c:formatCode>General</c:formatCode>
                <c:ptCount val="8"/>
                <c:pt idx="0">
                  <c:v>20.5</c:v>
                </c:pt>
                <c:pt idx="1">
                  <c:v>18.928571428571427</c:v>
                </c:pt>
                <c:pt idx="2">
                  <c:v>17.357142857142854</c:v>
                </c:pt>
                <c:pt idx="3">
                  <c:v>15.785714285714283</c:v>
                </c:pt>
                <c:pt idx="4">
                  <c:v>14.214285714285712</c:v>
                </c:pt>
                <c:pt idx="5">
                  <c:v>12.642857142857141</c:v>
                </c:pt>
                <c:pt idx="6">
                  <c:v>11.071428571428569</c:v>
                </c:pt>
                <c:pt idx="7" formatCode="0.00E+00">
                  <c:v>9.4999999999999982</c:v>
                </c:pt>
              </c:numCache>
            </c:numRef>
          </c:val>
          <c:smooth val="0"/>
          <c:extLst>
            <c:ext xmlns:c16="http://schemas.microsoft.com/office/drawing/2014/chart" uri="{C3380CC4-5D6E-409C-BE32-E72D297353CC}">
              <c16:uniqueId val="{00000001-2C30-4E4C-9DCA-D2AE3F41A97D}"/>
            </c:ext>
          </c:extLst>
        </c:ser>
        <c:dLbls>
          <c:showLegendKey val="0"/>
          <c:showVal val="0"/>
          <c:showCatName val="0"/>
          <c:showSerName val="0"/>
          <c:showPercent val="0"/>
          <c:showBubbleSize val="0"/>
        </c:dLbls>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s-EC"/>
              </a:p>
            </c:rich>
          </c:tx>
          <c:overlay val="0"/>
          <c:spPr>
            <a:noFill/>
            <a:ln>
              <a:noFill/>
            </a:ln>
            <a:effectLst/>
          </c:sp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C"/>
          </a:p>
        </c:txPr>
        <c:crossAx val="121089006"/>
        <c:crosses val="autoZero"/>
        <c:crossBetween val="between"/>
      </c:valAx>
      <c:spPr>
        <a:noFill/>
        <a:ln>
          <a:noFill/>
        </a:ln>
        <a:effectLst/>
      </c:spPr>
    </c:plotArea>
    <c:legend>
      <c:legendPos val="b"/>
      <c:layout>
        <c:manualLayout>
          <c:xMode val="edge"/>
          <c:yMode val="edge"/>
          <c:x val="0.34727066296497822"/>
          <c:y val="8.6611126227830668E-2"/>
          <c:w val="0.31106216756144234"/>
          <c:h val="0.1262011039280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EC"/>
        </a:p>
      </c:txPr>
    </c:legend>
    <c:plotVisOnly val="1"/>
    <c:dispBlanksAs val="zero"/>
    <c:showDLblsOverMax val="1"/>
  </c:chart>
  <c:spPr>
    <a:solidFill>
      <a:schemeClr val="bg1"/>
    </a:solidFill>
    <a:ln w="9525" cap="flat" cmpd="sng" algn="ctr">
      <a:solidFill>
        <a:schemeClr val="tx2">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'burdonchart - 1'!$B$96</c:f>
              <c:strCache>
                <c:ptCount val="1"/>
                <c:pt idx="0">
                  <c:v>Horas Estimadas</c:v>
                </c:pt>
              </c:strCache>
            </c:strRef>
          </c:tx>
          <c:spPr>
            <a:ln w="28575" cap="rnd">
              <a:solidFill>
                <a:schemeClr val="accent1"/>
              </a:solidFill>
              <a:round/>
            </a:ln>
            <a:effectLst/>
          </c:spPr>
          <c:marker>
            <c:symbol val="none"/>
          </c:marker>
          <c:val>
            <c:numRef>
              <c:f>'burdonchart - 1'!$C$96:$J$96</c:f>
              <c:numCache>
                <c:formatCode>General</c:formatCode>
                <c:ptCount val="8"/>
                <c:pt idx="0">
                  <c:v>9</c:v>
                </c:pt>
                <c:pt idx="1">
                  <c:v>7</c:v>
                </c:pt>
                <c:pt idx="2">
                  <c:v>2</c:v>
                </c:pt>
                <c:pt idx="3">
                  <c:v>3</c:v>
                </c:pt>
                <c:pt idx="4">
                  <c:v>1</c:v>
                </c:pt>
                <c:pt idx="5">
                  <c:v>0.5</c:v>
                </c:pt>
                <c:pt idx="6">
                  <c:v>0.5</c:v>
                </c:pt>
                <c:pt idx="7">
                  <c:v>0</c:v>
                </c:pt>
              </c:numCache>
            </c:numRef>
          </c:val>
          <c:smooth val="0"/>
          <c:extLst>
            <c:ext xmlns:c16="http://schemas.microsoft.com/office/drawing/2014/chart" uri="{C3380CC4-5D6E-409C-BE32-E72D297353CC}">
              <c16:uniqueId val="{00000000-89EE-4CB7-918E-31A3E6226479}"/>
            </c:ext>
          </c:extLst>
        </c:ser>
        <c:ser>
          <c:idx val="1"/>
          <c:order val="1"/>
          <c:tx>
            <c:strRef>
              <c:f>'burdonchart - 1'!$B$97</c:f>
              <c:strCache>
                <c:ptCount val="1"/>
                <c:pt idx="0">
                  <c:v>Horas Estimadas
Restantes</c:v>
                </c:pt>
              </c:strCache>
            </c:strRef>
          </c:tx>
          <c:spPr>
            <a:ln w="28575" cap="rnd">
              <a:solidFill>
                <a:schemeClr val="accent2"/>
              </a:solidFill>
              <a:round/>
            </a:ln>
            <a:effectLst/>
          </c:spPr>
          <c:marker>
            <c:symbol val="none"/>
          </c:marker>
          <c:val>
            <c:numRef>
              <c:f>'burdonchart - 1'!$C$97:$J$97</c:f>
              <c:numCache>
                <c:formatCode>General</c:formatCode>
                <c:ptCount val="8"/>
                <c:pt idx="0">
                  <c:v>9</c:v>
                </c:pt>
                <c:pt idx="1">
                  <c:v>7.7142857142857144</c:v>
                </c:pt>
                <c:pt idx="2">
                  <c:v>6.4285714285714288</c:v>
                </c:pt>
                <c:pt idx="3">
                  <c:v>5.1428571428571432</c:v>
                </c:pt>
                <c:pt idx="4">
                  <c:v>3.8571428571428577</c:v>
                </c:pt>
                <c:pt idx="5">
                  <c:v>2.5714285714285721</c:v>
                </c:pt>
                <c:pt idx="6">
                  <c:v>1.2857142857142863</c:v>
                </c:pt>
                <c:pt idx="7">
                  <c:v>0</c:v>
                </c:pt>
              </c:numCache>
            </c:numRef>
          </c:val>
          <c:smooth val="0"/>
          <c:extLst>
            <c:ext xmlns:c16="http://schemas.microsoft.com/office/drawing/2014/chart" uri="{C3380CC4-5D6E-409C-BE32-E72D297353CC}">
              <c16:uniqueId val="{00000002-89EE-4CB7-918E-31A3E6226479}"/>
            </c:ext>
          </c:extLst>
        </c:ser>
        <c:dLbls>
          <c:showLegendKey val="0"/>
          <c:showVal val="0"/>
          <c:showCatName val="0"/>
          <c:showSerName val="0"/>
          <c:showPercent val="0"/>
          <c:showBubbleSize val="0"/>
        </c:dLbls>
        <c:smooth val="0"/>
        <c:axId val="1054512647"/>
        <c:axId val="1054514695"/>
      </c:lineChart>
      <c:catAx>
        <c:axId val="105451264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514695"/>
        <c:crosses val="autoZero"/>
        <c:auto val="1"/>
        <c:lblAlgn val="ctr"/>
        <c:lblOffset val="100"/>
        <c:noMultiLvlLbl val="0"/>
      </c:catAx>
      <c:valAx>
        <c:axId val="1054514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512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38356232833095"/>
          <c:y val="6.6796945304296723E-2"/>
          <c:w val="0.71638705161854765"/>
          <c:h val="0.86882300089847264"/>
        </c:manualLayout>
      </c:layout>
      <c:lineChart>
        <c:grouping val="standard"/>
        <c:varyColors val="1"/>
        <c:ser>
          <c:idx val="0"/>
          <c:order val="0"/>
          <c:tx>
            <c:strRef>
              <c:f>'burdonchart - 2'!$B$8</c:f>
              <c:strCache>
                <c:ptCount val="1"/>
                <c:pt idx="0">
                  <c:v>Horas Estimadas</c:v>
                </c:pt>
              </c:strCache>
            </c:strRef>
          </c:tx>
          <c:spPr>
            <a:ln w="22225" cap="rnd" cmpd="sng" algn="ctr">
              <a:solidFill>
                <a:schemeClr val="accent1"/>
              </a:solidFill>
              <a:round/>
            </a:ln>
            <a:effectLst/>
          </c:spPr>
          <c:marker>
            <c:symbol val="none"/>
          </c:marker>
          <c:val>
            <c:numRef>
              <c:f>'burdonchart - 2'!$C$8:$J$8</c:f>
              <c:numCache>
                <c:formatCode>General</c:formatCode>
                <c:ptCount val="8"/>
                <c:pt idx="0">
                  <c:v>5</c:v>
                </c:pt>
                <c:pt idx="1">
                  <c:v>0</c:v>
                </c:pt>
                <c:pt idx="2">
                  <c:v>0</c:v>
                </c:pt>
                <c:pt idx="3">
                  <c:v>0.5</c:v>
                </c:pt>
                <c:pt idx="4">
                  <c:v>0.5</c:v>
                </c:pt>
                <c:pt idx="5">
                  <c:v>2</c:v>
                </c:pt>
                <c:pt idx="6">
                  <c:v>1</c:v>
                </c:pt>
                <c:pt idx="7">
                  <c:v>1</c:v>
                </c:pt>
              </c:numCache>
            </c:numRef>
          </c:val>
          <c:smooth val="0"/>
          <c:extLst>
            <c:ext xmlns:c16="http://schemas.microsoft.com/office/drawing/2014/chart" uri="{C3380CC4-5D6E-409C-BE32-E72D297353CC}">
              <c16:uniqueId val="{00000000-6A3C-4BD0-BF7E-A2C84802B8F8}"/>
            </c:ext>
          </c:extLst>
        </c:ser>
        <c:ser>
          <c:idx val="1"/>
          <c:order val="1"/>
          <c:tx>
            <c:strRef>
              <c:f>'burdonchart - 2'!$B$9</c:f>
              <c:strCache>
                <c:ptCount val="1"/>
                <c:pt idx="0">
                  <c:v>Horas Estimadas
Restantes</c:v>
                </c:pt>
              </c:strCache>
            </c:strRef>
          </c:tx>
          <c:spPr>
            <a:ln w="22225" cap="rnd" cmpd="sng" algn="ctr">
              <a:solidFill>
                <a:schemeClr val="accent2"/>
              </a:solidFill>
              <a:round/>
            </a:ln>
            <a:effectLst/>
          </c:spPr>
          <c:marker>
            <c:symbol val="none"/>
          </c:marker>
          <c:val>
            <c:numRef>
              <c:f>'burdonchart - 2'!$C$9:$J$9</c:f>
              <c:numCache>
                <c:formatCode>General</c:formatCode>
                <c:ptCount val="8"/>
                <c:pt idx="0">
                  <c:v>5</c:v>
                </c:pt>
                <c:pt idx="1">
                  <c:v>4.2857142857142856</c:v>
                </c:pt>
                <c:pt idx="2">
                  <c:v>3.5714285714285712</c:v>
                </c:pt>
                <c:pt idx="3">
                  <c:v>2.8571428571428568</c:v>
                </c:pt>
                <c:pt idx="4">
                  <c:v>2.1428571428571423</c:v>
                </c:pt>
                <c:pt idx="5">
                  <c:v>1.4285714285714279</c:v>
                </c:pt>
                <c:pt idx="6">
                  <c:v>0.71428571428571364</c:v>
                </c:pt>
                <c:pt idx="7">
                  <c:v>0</c:v>
                </c:pt>
              </c:numCache>
            </c:numRef>
          </c:val>
          <c:smooth val="0"/>
          <c:extLst>
            <c:ext xmlns:c16="http://schemas.microsoft.com/office/drawing/2014/chart" uri="{C3380CC4-5D6E-409C-BE32-E72D297353CC}">
              <c16:uniqueId val="{00000001-6A3C-4BD0-BF7E-A2C84802B8F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21089006"/>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35007240971067771"/>
          <c:y val="8.6793379843546237E-2"/>
          <c:w val="0.31106216756144234"/>
          <c:h val="9.35202726582329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C"/>
        </a:p>
      </c:txPr>
    </c:legend>
    <c:plotVisOnly val="1"/>
    <c:dispBlanksAs val="zero"/>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38356232833095"/>
          <c:y val="6.6796945304296723E-2"/>
          <c:w val="0.71638705161854765"/>
          <c:h val="0.86882300089847264"/>
        </c:manualLayout>
      </c:layout>
      <c:lineChart>
        <c:grouping val="standard"/>
        <c:varyColors val="1"/>
        <c:ser>
          <c:idx val="0"/>
          <c:order val="0"/>
          <c:tx>
            <c:strRef>
              <c:f>'burdonchart - 2'!$B$41</c:f>
              <c:strCache>
                <c:ptCount val="1"/>
                <c:pt idx="0">
                  <c:v>Horas Estimadas</c:v>
                </c:pt>
              </c:strCache>
            </c:strRef>
          </c:tx>
          <c:spPr>
            <a:ln w="22225" cap="rnd" cmpd="sng" algn="ctr">
              <a:solidFill>
                <a:schemeClr val="accent1"/>
              </a:solidFill>
              <a:round/>
            </a:ln>
            <a:effectLst/>
          </c:spPr>
          <c:marker>
            <c:symbol val="none"/>
          </c:marker>
          <c:val>
            <c:numRef>
              <c:f>'burdonchart - 2'!$C$41:$J$41</c:f>
              <c:numCache>
                <c:formatCode>General</c:formatCode>
                <c:ptCount val="8"/>
                <c:pt idx="0">
                  <c:v>4</c:v>
                </c:pt>
                <c:pt idx="1">
                  <c:v>0</c:v>
                </c:pt>
                <c:pt idx="2">
                  <c:v>0</c:v>
                </c:pt>
                <c:pt idx="3">
                  <c:v>0</c:v>
                </c:pt>
                <c:pt idx="4">
                  <c:v>0</c:v>
                </c:pt>
                <c:pt idx="5">
                  <c:v>0</c:v>
                </c:pt>
                <c:pt idx="6">
                  <c:v>2</c:v>
                </c:pt>
                <c:pt idx="7">
                  <c:v>2</c:v>
                </c:pt>
              </c:numCache>
            </c:numRef>
          </c:val>
          <c:smooth val="0"/>
          <c:extLst>
            <c:ext xmlns:c16="http://schemas.microsoft.com/office/drawing/2014/chart" uri="{C3380CC4-5D6E-409C-BE32-E72D297353CC}">
              <c16:uniqueId val="{00000000-7D03-4BCA-A9C0-5BB9DA906598}"/>
            </c:ext>
          </c:extLst>
        </c:ser>
        <c:ser>
          <c:idx val="1"/>
          <c:order val="1"/>
          <c:tx>
            <c:strRef>
              <c:f>'burdonchart - 2'!$B$42</c:f>
              <c:strCache>
                <c:ptCount val="1"/>
                <c:pt idx="0">
                  <c:v>Horas Estimadas
Restantes</c:v>
                </c:pt>
              </c:strCache>
            </c:strRef>
          </c:tx>
          <c:spPr>
            <a:ln w="22225" cap="rnd" cmpd="sng" algn="ctr">
              <a:solidFill>
                <a:schemeClr val="accent2"/>
              </a:solidFill>
              <a:round/>
            </a:ln>
            <a:effectLst/>
          </c:spPr>
          <c:marker>
            <c:symbol val="none"/>
          </c:marker>
          <c:val>
            <c:numRef>
              <c:f>'burdonchart - 2'!$C$42:$J$42</c:f>
              <c:numCache>
                <c:formatCode>General</c:formatCode>
                <c:ptCount val="8"/>
                <c:pt idx="0">
                  <c:v>4</c:v>
                </c:pt>
                <c:pt idx="1">
                  <c:v>3.4285714285714288</c:v>
                </c:pt>
                <c:pt idx="2">
                  <c:v>2.8571428571428577</c:v>
                </c:pt>
                <c:pt idx="3">
                  <c:v>2.2857142857142865</c:v>
                </c:pt>
                <c:pt idx="4">
                  <c:v>1.7142857142857151</c:v>
                </c:pt>
                <c:pt idx="5">
                  <c:v>1.1428571428571437</c:v>
                </c:pt>
                <c:pt idx="6">
                  <c:v>0.57142857142857229</c:v>
                </c:pt>
                <c:pt idx="7">
                  <c:v>8.8817841970012523E-16</c:v>
                </c:pt>
              </c:numCache>
            </c:numRef>
          </c:val>
          <c:smooth val="0"/>
          <c:extLst>
            <c:ext xmlns:c16="http://schemas.microsoft.com/office/drawing/2014/chart" uri="{C3380CC4-5D6E-409C-BE32-E72D297353CC}">
              <c16:uniqueId val="{00000001-7D03-4BCA-A9C0-5BB9DA90659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21089006"/>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35007240971067771"/>
          <c:y val="8.6793379843546237E-2"/>
          <c:w val="0.31106216756144234"/>
          <c:h val="9.35202726582329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C"/>
        </a:p>
      </c:txPr>
    </c:legend>
    <c:plotVisOnly val="1"/>
    <c:dispBlanksAs val="zero"/>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38356232833095"/>
          <c:y val="6.6796945304296723E-2"/>
          <c:w val="0.71638705161854765"/>
          <c:h val="0.86882300089847264"/>
        </c:manualLayout>
      </c:layout>
      <c:lineChart>
        <c:grouping val="standard"/>
        <c:varyColors val="1"/>
        <c:ser>
          <c:idx val="0"/>
          <c:order val="0"/>
          <c:tx>
            <c:strRef>
              <c:f>'burdonchart - 2'!$B$74</c:f>
              <c:strCache>
                <c:ptCount val="1"/>
                <c:pt idx="0">
                  <c:v>Horas Estimadas</c:v>
                </c:pt>
              </c:strCache>
            </c:strRef>
          </c:tx>
          <c:spPr>
            <a:ln w="22225" cap="rnd" cmpd="sng" algn="ctr">
              <a:solidFill>
                <a:schemeClr val="accent1"/>
              </a:solidFill>
              <a:round/>
            </a:ln>
            <a:effectLst/>
          </c:spPr>
          <c:marker>
            <c:symbol val="none"/>
          </c:marker>
          <c:val>
            <c:numRef>
              <c:f>'burdonchart - 2'!$C$74:$J$74</c:f>
              <c:numCache>
                <c:formatCode>General</c:formatCode>
                <c:ptCount val="8"/>
                <c:pt idx="0">
                  <c:v>9.5</c:v>
                </c:pt>
                <c:pt idx="1">
                  <c:v>1.5</c:v>
                </c:pt>
                <c:pt idx="2">
                  <c:v>2</c:v>
                </c:pt>
                <c:pt idx="3">
                  <c:v>2.5</c:v>
                </c:pt>
                <c:pt idx="4">
                  <c:v>3</c:v>
                </c:pt>
                <c:pt idx="5">
                  <c:v>1.5</c:v>
                </c:pt>
                <c:pt idx="6">
                  <c:v>1</c:v>
                </c:pt>
                <c:pt idx="7">
                  <c:v>0</c:v>
                </c:pt>
              </c:numCache>
            </c:numRef>
          </c:val>
          <c:smooth val="0"/>
          <c:extLst>
            <c:ext xmlns:c16="http://schemas.microsoft.com/office/drawing/2014/chart" uri="{C3380CC4-5D6E-409C-BE32-E72D297353CC}">
              <c16:uniqueId val="{00000000-F2AE-4855-91F3-BF245070D684}"/>
            </c:ext>
          </c:extLst>
        </c:ser>
        <c:ser>
          <c:idx val="1"/>
          <c:order val="1"/>
          <c:tx>
            <c:strRef>
              <c:f>'burdonchart - 2'!$B$75</c:f>
              <c:strCache>
                <c:ptCount val="1"/>
                <c:pt idx="0">
                  <c:v>Horas Estimadas
Restantes</c:v>
                </c:pt>
              </c:strCache>
            </c:strRef>
          </c:tx>
          <c:spPr>
            <a:ln w="22225" cap="rnd" cmpd="sng" algn="ctr">
              <a:solidFill>
                <a:schemeClr val="accent2"/>
              </a:solidFill>
              <a:round/>
            </a:ln>
            <a:effectLst/>
          </c:spPr>
          <c:marker>
            <c:symbol val="none"/>
          </c:marker>
          <c:val>
            <c:numRef>
              <c:f>'burdonchart - 2'!$C$75:$J$75</c:f>
              <c:numCache>
                <c:formatCode>General</c:formatCode>
                <c:ptCount val="8"/>
                <c:pt idx="0">
                  <c:v>9.5</c:v>
                </c:pt>
                <c:pt idx="1">
                  <c:v>8.1428571428571423</c:v>
                </c:pt>
                <c:pt idx="2">
                  <c:v>6.7857142857142847</c:v>
                </c:pt>
                <c:pt idx="3">
                  <c:v>5.428571428571427</c:v>
                </c:pt>
                <c:pt idx="4">
                  <c:v>4.0714285714285694</c:v>
                </c:pt>
                <c:pt idx="5">
                  <c:v>2.7142857142857122</c:v>
                </c:pt>
                <c:pt idx="6">
                  <c:v>1.357142857142855</c:v>
                </c:pt>
                <c:pt idx="7">
                  <c:v>-2.2204460492503131E-15</c:v>
                </c:pt>
              </c:numCache>
            </c:numRef>
          </c:val>
          <c:smooth val="0"/>
          <c:extLst>
            <c:ext xmlns:c16="http://schemas.microsoft.com/office/drawing/2014/chart" uri="{C3380CC4-5D6E-409C-BE32-E72D297353CC}">
              <c16:uniqueId val="{00000001-F2AE-4855-91F3-BF245070D68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21089006"/>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35007240971067771"/>
          <c:y val="8.6793379843546237E-2"/>
          <c:w val="0.31106216756144234"/>
          <c:h val="9.35202726582329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C"/>
        </a:p>
      </c:txPr>
    </c:legend>
    <c:plotVisOnly val="1"/>
    <c:dispBlanksAs val="zero"/>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38356232833095"/>
          <c:y val="6.6796945304296723E-2"/>
          <c:w val="0.71638705161854765"/>
          <c:h val="0.86882300089847264"/>
        </c:manualLayout>
      </c:layout>
      <c:lineChart>
        <c:grouping val="standard"/>
        <c:varyColors val="1"/>
        <c:ser>
          <c:idx val="0"/>
          <c:order val="0"/>
          <c:tx>
            <c:strRef>
              <c:f>'burdonchart - 2'!$B$105</c:f>
              <c:strCache>
                <c:ptCount val="1"/>
                <c:pt idx="0">
                  <c:v>Horas Estimadas</c:v>
                </c:pt>
              </c:strCache>
            </c:strRef>
          </c:tx>
          <c:spPr>
            <a:ln w="22225" cap="rnd" cmpd="sng" algn="ctr">
              <a:solidFill>
                <a:schemeClr val="accent1"/>
              </a:solidFill>
              <a:round/>
            </a:ln>
            <a:effectLst/>
          </c:spPr>
          <c:marker>
            <c:symbol val="none"/>
          </c:marker>
          <c:val>
            <c:numRef>
              <c:f>'burdonchart - 2'!$C$105:$J$105</c:f>
              <c:numCache>
                <c:formatCode>General</c:formatCode>
                <c:ptCount val="8"/>
                <c:pt idx="0">
                  <c:v>7</c:v>
                </c:pt>
                <c:pt idx="1">
                  <c:v>1.5</c:v>
                </c:pt>
                <c:pt idx="2">
                  <c:v>1</c:v>
                </c:pt>
                <c:pt idx="3">
                  <c:v>1</c:v>
                </c:pt>
                <c:pt idx="4">
                  <c:v>2</c:v>
                </c:pt>
                <c:pt idx="5">
                  <c:v>1</c:v>
                </c:pt>
                <c:pt idx="6">
                  <c:v>1</c:v>
                </c:pt>
                <c:pt idx="7">
                  <c:v>1</c:v>
                </c:pt>
              </c:numCache>
            </c:numRef>
          </c:val>
          <c:smooth val="0"/>
          <c:extLst>
            <c:ext xmlns:c16="http://schemas.microsoft.com/office/drawing/2014/chart" uri="{C3380CC4-5D6E-409C-BE32-E72D297353CC}">
              <c16:uniqueId val="{00000000-736B-4293-AB45-4B8EDC5F0F28}"/>
            </c:ext>
          </c:extLst>
        </c:ser>
        <c:ser>
          <c:idx val="1"/>
          <c:order val="1"/>
          <c:tx>
            <c:strRef>
              <c:f>'burdonchart - 2'!$B$106</c:f>
              <c:strCache>
                <c:ptCount val="1"/>
                <c:pt idx="0">
                  <c:v>Horas Estimadas
Restantes</c:v>
                </c:pt>
              </c:strCache>
            </c:strRef>
          </c:tx>
          <c:spPr>
            <a:ln w="22225" cap="rnd" cmpd="sng" algn="ctr">
              <a:solidFill>
                <a:schemeClr val="accent2"/>
              </a:solidFill>
              <a:round/>
            </a:ln>
            <a:effectLst/>
          </c:spPr>
          <c:marker>
            <c:symbol val="none"/>
          </c:marker>
          <c:val>
            <c:numRef>
              <c:f>'burdonchart - 2'!$C$106:$J$106</c:f>
              <c:numCache>
                <c:formatCode>General</c:formatCode>
                <c:ptCount val="8"/>
                <c:pt idx="0">
                  <c:v>7</c:v>
                </c:pt>
                <c:pt idx="1">
                  <c:v>6</c:v>
                </c:pt>
                <c:pt idx="2">
                  <c:v>5</c:v>
                </c:pt>
                <c:pt idx="3">
                  <c:v>4</c:v>
                </c:pt>
                <c:pt idx="4">
                  <c:v>3</c:v>
                </c:pt>
                <c:pt idx="5">
                  <c:v>2</c:v>
                </c:pt>
                <c:pt idx="6">
                  <c:v>1</c:v>
                </c:pt>
                <c:pt idx="7">
                  <c:v>0</c:v>
                </c:pt>
              </c:numCache>
            </c:numRef>
          </c:val>
          <c:smooth val="0"/>
          <c:extLst>
            <c:ext xmlns:c16="http://schemas.microsoft.com/office/drawing/2014/chart" uri="{C3380CC4-5D6E-409C-BE32-E72D297353CC}">
              <c16:uniqueId val="{00000001-736B-4293-AB45-4B8EDC5F0F2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21089006"/>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35007240971067771"/>
          <c:y val="8.6793379843546237E-2"/>
          <c:w val="0.31106216756144234"/>
          <c:h val="9.35202726582329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C"/>
        </a:p>
      </c:txPr>
    </c:legend>
    <c:plotVisOnly val="1"/>
    <c:dispBlanksAs val="zero"/>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8442708739748"/>
          <c:y val="5.9575003594018003E-2"/>
          <c:w val="0.71638705161854765"/>
          <c:h val="0.86882300089847264"/>
        </c:manualLayout>
      </c:layout>
      <c:lineChart>
        <c:grouping val="standard"/>
        <c:varyColors val="1"/>
        <c:ser>
          <c:idx val="0"/>
          <c:order val="0"/>
          <c:tx>
            <c:strRef>
              <c:f>'burdochart-3'!$B$12</c:f>
              <c:strCache>
                <c:ptCount val="1"/>
                <c:pt idx="0">
                  <c:v>Horas Estimadas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'burdochart-3'!$C$12:$J$12</c:f>
              <c:numCache>
                <c:formatCode>General</c:formatCode>
                <c:ptCount val="8"/>
                <c:pt idx="0">
                  <c:v>11.5</c:v>
                </c:pt>
                <c:pt idx="1">
                  <c:v>3.5</c:v>
                </c:pt>
                <c:pt idx="2">
                  <c:v>2.5</c:v>
                </c:pt>
                <c:pt idx="3">
                  <c:v>1</c:v>
                </c:pt>
                <c:pt idx="4">
                  <c:v>3</c:v>
                </c:pt>
                <c:pt idx="5">
                  <c:v>1</c:v>
                </c:pt>
                <c:pt idx="6">
                  <c:v>2</c:v>
                </c:pt>
                <c:pt idx="7">
                  <c:v>1</c:v>
                </c:pt>
              </c:numCache>
            </c:numRef>
          </c:val>
          <c:smooth val="0"/>
          <c:extLst>
            <c:ext xmlns:c16="http://schemas.microsoft.com/office/drawing/2014/chart" uri="{C3380CC4-5D6E-409C-BE32-E72D297353CC}">
              <c16:uniqueId val="{00000000-6D66-4BF0-BD20-CB9669CCA28C}"/>
            </c:ext>
          </c:extLst>
        </c:ser>
        <c:ser>
          <c:idx val="1"/>
          <c:order val="1"/>
          <c:tx>
            <c:strRef>
              <c:f>'burdochart-3'!$B$13</c:f>
              <c:strCache>
                <c:ptCount val="1"/>
                <c:pt idx="0">
                  <c:v>Horas Estimadas
Restantes</c:v>
                </c:pt>
              </c:strCache>
            </c:strRef>
          </c:tx>
          <c:marker>
            <c:symbol val="circle"/>
            <c:size val="5"/>
            <c:spPr>
              <a:solidFill>
                <a:schemeClr val="accent5"/>
              </a:solidFill>
              <a:ln w="9525">
                <a:solidFill>
                  <a:schemeClr val="accent5"/>
                </a:solidFill>
              </a:ln>
              <a:effectLst/>
            </c:spPr>
          </c:marker>
          <c:val>
            <c:numRef>
              <c:f>'burdochart-3'!$C$13:$J$13</c:f>
              <c:numCache>
                <c:formatCode>General</c:formatCode>
                <c:ptCount val="8"/>
                <c:pt idx="0">
                  <c:v>11.5</c:v>
                </c:pt>
                <c:pt idx="1">
                  <c:v>9.8571428571428577</c:v>
                </c:pt>
                <c:pt idx="2">
                  <c:v>8.2142857142857153</c:v>
                </c:pt>
                <c:pt idx="3">
                  <c:v>6.571428571428573</c:v>
                </c:pt>
                <c:pt idx="4">
                  <c:v>4.9285714285714306</c:v>
                </c:pt>
                <c:pt idx="5">
                  <c:v>3.2857142857142878</c:v>
                </c:pt>
                <c:pt idx="6">
                  <c:v>1.642857142857145</c:v>
                </c:pt>
                <c:pt idx="7">
                  <c:v>2.2204460492503131E-15</c:v>
                </c:pt>
              </c:numCache>
            </c:numRef>
          </c:val>
          <c:smooth val="0"/>
          <c:extLst>
            <c:ext xmlns:c16="http://schemas.microsoft.com/office/drawing/2014/chart" uri="{C3380CC4-5D6E-409C-BE32-E72D297353CC}">
              <c16:uniqueId val="{00000001-6D66-4BF0-BD20-CB9669CCA28C}"/>
            </c:ext>
          </c:extLst>
        </c:ser>
        <c:dLbls>
          <c:showLegendKey val="0"/>
          <c:showVal val="0"/>
          <c:showCatName val="0"/>
          <c:showSerName val="0"/>
          <c:showPercent val="0"/>
          <c:showBubbleSize val="0"/>
        </c:dLbls>
        <c:marker val="1"/>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crossAx val="121089006"/>
        <c:crosses val="autoZero"/>
        <c:crossBetween val="between"/>
      </c:valAx>
      <c:spPr>
        <a:noFill/>
        <a:ln>
          <a:noFill/>
        </a:ln>
        <a:effectLst/>
      </c:spPr>
    </c:plotArea>
    <c:legend>
      <c:legendPos val="b"/>
      <c:layout>
        <c:manualLayout>
          <c:xMode val="edge"/>
          <c:yMode val="edge"/>
          <c:x val="0.33691280379510935"/>
          <c:y val="6.4945407791754339E-2"/>
          <c:w val="0.32647177466278937"/>
          <c:h val="9.00915732012691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C"/>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38356232833095"/>
          <c:y val="6.6796945304296723E-2"/>
          <c:w val="0.71638705161854765"/>
          <c:h val="0.86882300089847264"/>
        </c:manualLayout>
      </c:layout>
      <c:lineChart>
        <c:grouping val="standard"/>
        <c:varyColors val="1"/>
        <c:ser>
          <c:idx val="0"/>
          <c:order val="0"/>
          <c:tx>
            <c:strRef>
              <c:f>'burdochart-3'!$B$49</c:f>
              <c:strCache>
                <c:ptCount val="1"/>
                <c:pt idx="0">
                  <c:v>Horas Estimadas</c:v>
                </c:pt>
              </c:strCache>
            </c:strRef>
          </c:tx>
          <c:marker>
            <c:symbol val="none"/>
          </c:marker>
          <c:val>
            <c:numRef>
              <c:f>'burdochart-3'!$C$49:$J$49</c:f>
              <c:numCache>
                <c:formatCode>General</c:formatCode>
                <c:ptCount val="8"/>
                <c:pt idx="0">
                  <c:v>6</c:v>
                </c:pt>
                <c:pt idx="1">
                  <c:v>0</c:v>
                </c:pt>
                <c:pt idx="2">
                  <c:v>0</c:v>
                </c:pt>
                <c:pt idx="3">
                  <c:v>0.5</c:v>
                </c:pt>
                <c:pt idx="4">
                  <c:v>0</c:v>
                </c:pt>
                <c:pt idx="5">
                  <c:v>1</c:v>
                </c:pt>
                <c:pt idx="6">
                  <c:v>3</c:v>
                </c:pt>
                <c:pt idx="7">
                  <c:v>2</c:v>
                </c:pt>
              </c:numCache>
            </c:numRef>
          </c:val>
          <c:smooth val="0"/>
          <c:extLst>
            <c:ext xmlns:c16="http://schemas.microsoft.com/office/drawing/2014/chart" uri="{C3380CC4-5D6E-409C-BE32-E72D297353CC}">
              <c16:uniqueId val="{00000000-67A8-4A5B-88C3-57690DC18187}"/>
            </c:ext>
          </c:extLst>
        </c:ser>
        <c:ser>
          <c:idx val="1"/>
          <c:order val="1"/>
          <c:tx>
            <c:strRef>
              <c:f>'burdochart-3'!$B$50</c:f>
              <c:strCache>
                <c:ptCount val="1"/>
                <c:pt idx="0">
                  <c:v>Horas Estimadas
Restantes</c:v>
                </c:pt>
              </c:strCache>
            </c:strRef>
          </c:tx>
          <c:marker>
            <c:symbol val="none"/>
          </c:marker>
          <c:val>
            <c:numRef>
              <c:f>'burdochart-3'!$C$50:$J$50</c:f>
              <c:numCache>
                <c:formatCode>General</c:formatCode>
                <c:ptCount val="8"/>
                <c:pt idx="0">
                  <c:v>6</c:v>
                </c:pt>
                <c:pt idx="1">
                  <c:v>5.1428571428571432</c:v>
                </c:pt>
                <c:pt idx="2">
                  <c:v>4.2857142857142865</c:v>
                </c:pt>
                <c:pt idx="3">
                  <c:v>3.4285714285714293</c:v>
                </c:pt>
                <c:pt idx="4">
                  <c:v>2.5714285714285721</c:v>
                </c:pt>
                <c:pt idx="5">
                  <c:v>1.7142857142857149</c:v>
                </c:pt>
                <c:pt idx="6">
                  <c:v>0.85714285714285776</c:v>
                </c:pt>
                <c:pt idx="7">
                  <c:v>0</c:v>
                </c:pt>
              </c:numCache>
            </c:numRef>
          </c:val>
          <c:smooth val="0"/>
          <c:extLst>
            <c:ext xmlns:c16="http://schemas.microsoft.com/office/drawing/2014/chart" uri="{C3380CC4-5D6E-409C-BE32-E72D297353CC}">
              <c16:uniqueId val="{00000001-67A8-4A5B-88C3-57690DC1818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21089006"/>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35007240971067771"/>
          <c:y val="8.6793379843546237E-2"/>
          <c:w val="0.31106216756144234"/>
          <c:h val="9.35202726582329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C"/>
        </a:p>
      </c:txPr>
    </c:legend>
    <c:plotVisOnly val="1"/>
    <c:dispBlanksAs val="zero"/>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38356232833095"/>
          <c:y val="6.6796945304296723E-2"/>
          <c:w val="0.71638705161854765"/>
          <c:h val="0.86882300089847264"/>
        </c:manualLayout>
      </c:layout>
      <c:lineChart>
        <c:grouping val="standard"/>
        <c:varyColors val="1"/>
        <c:ser>
          <c:idx val="0"/>
          <c:order val="0"/>
          <c:tx>
            <c:strRef>
              <c:f>'burdochart-3'!$B$110</c:f>
              <c:strCache>
                <c:ptCount val="1"/>
                <c:pt idx="0">
                  <c:v>Horas Estimadas</c:v>
                </c:pt>
              </c:strCache>
            </c:strRef>
          </c:tx>
          <c:marker>
            <c:symbol val="none"/>
          </c:marker>
          <c:val>
            <c:numRef>
              <c:f>'burdochart-3'!$C$110:$J$110</c:f>
              <c:numCache>
                <c:formatCode>General</c:formatCode>
                <c:ptCount val="8"/>
                <c:pt idx="0">
                  <c:v>3.5</c:v>
                </c:pt>
                <c:pt idx="1">
                  <c:v>0</c:v>
                </c:pt>
                <c:pt idx="2">
                  <c:v>0.75</c:v>
                </c:pt>
                <c:pt idx="3">
                  <c:v>0.5</c:v>
                </c:pt>
                <c:pt idx="4">
                  <c:v>0.75</c:v>
                </c:pt>
                <c:pt idx="5">
                  <c:v>1.1000000000000001</c:v>
                </c:pt>
                <c:pt idx="6">
                  <c:v>0.25</c:v>
                </c:pt>
                <c:pt idx="7">
                  <c:v>0.5</c:v>
                </c:pt>
              </c:numCache>
            </c:numRef>
          </c:val>
          <c:smooth val="0"/>
          <c:extLst>
            <c:ext xmlns:c16="http://schemas.microsoft.com/office/drawing/2014/chart" uri="{C3380CC4-5D6E-409C-BE32-E72D297353CC}">
              <c16:uniqueId val="{00000000-CC45-4282-AAB2-DA7378754C51}"/>
            </c:ext>
          </c:extLst>
        </c:ser>
        <c:ser>
          <c:idx val="1"/>
          <c:order val="1"/>
          <c:tx>
            <c:strRef>
              <c:f>'burdochart-3'!$B$111</c:f>
              <c:strCache>
                <c:ptCount val="1"/>
                <c:pt idx="0">
                  <c:v>Horas Estimadas
Restantes</c:v>
                </c:pt>
              </c:strCache>
            </c:strRef>
          </c:tx>
          <c:marker>
            <c:symbol val="none"/>
          </c:marker>
          <c:val>
            <c:numRef>
              <c:f>'burdochart-3'!$C$111:$J$111</c:f>
              <c:numCache>
                <c:formatCode>General</c:formatCode>
                <c:ptCount val="8"/>
                <c:pt idx="0">
                  <c:v>3.5</c:v>
                </c:pt>
                <c:pt idx="1">
                  <c:v>3</c:v>
                </c:pt>
                <c:pt idx="2">
                  <c:v>2.5</c:v>
                </c:pt>
                <c:pt idx="3">
                  <c:v>2</c:v>
                </c:pt>
                <c:pt idx="4">
                  <c:v>1.5</c:v>
                </c:pt>
                <c:pt idx="5">
                  <c:v>1</c:v>
                </c:pt>
                <c:pt idx="6">
                  <c:v>0.5</c:v>
                </c:pt>
                <c:pt idx="7">
                  <c:v>0</c:v>
                </c:pt>
              </c:numCache>
            </c:numRef>
          </c:val>
          <c:smooth val="0"/>
          <c:extLst>
            <c:ext xmlns:c16="http://schemas.microsoft.com/office/drawing/2014/chart" uri="{C3380CC4-5D6E-409C-BE32-E72D297353CC}">
              <c16:uniqueId val="{00000001-CC45-4282-AAB2-DA7378754C5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21089006"/>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35007240971067771"/>
          <c:y val="8.6793379843546237E-2"/>
          <c:w val="0.31106216756144234"/>
          <c:h val="9.35202726582329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C"/>
        </a:p>
      </c:txPr>
    </c:legend>
    <c:plotVisOnly val="1"/>
    <c:dispBlanksAs val="zero"/>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38356232833095"/>
          <c:y val="6.6796945304296723E-2"/>
          <c:w val="0.71638705161854765"/>
          <c:h val="0.86882300089847264"/>
        </c:manualLayout>
      </c:layout>
      <c:lineChart>
        <c:grouping val="standard"/>
        <c:varyColors val="1"/>
        <c:ser>
          <c:idx val="0"/>
          <c:order val="0"/>
          <c:tx>
            <c:strRef>
              <c:f>'burdochart-3'!$B$145</c:f>
              <c:strCache>
                <c:ptCount val="1"/>
                <c:pt idx="0">
                  <c:v>Horas Estimadas</c:v>
                </c:pt>
              </c:strCache>
            </c:strRef>
          </c:tx>
          <c:marker>
            <c:symbol val="none"/>
          </c:marker>
          <c:val>
            <c:numRef>
              <c:f>'burdochart-3'!$C$145:$J$145</c:f>
              <c:numCache>
                <c:formatCode>General</c:formatCode>
                <c:ptCount val="8"/>
                <c:pt idx="0">
                  <c:v>2.5</c:v>
                </c:pt>
                <c:pt idx="1">
                  <c:v>0</c:v>
                </c:pt>
                <c:pt idx="2">
                  <c:v>0</c:v>
                </c:pt>
                <c:pt idx="3">
                  <c:v>0.5</c:v>
                </c:pt>
                <c:pt idx="4">
                  <c:v>0.55000000000000004</c:v>
                </c:pt>
                <c:pt idx="5">
                  <c:v>0.5</c:v>
                </c:pt>
                <c:pt idx="6">
                  <c:v>0.5</c:v>
                </c:pt>
                <c:pt idx="7">
                  <c:v>0.5</c:v>
                </c:pt>
              </c:numCache>
            </c:numRef>
          </c:val>
          <c:smooth val="0"/>
          <c:extLst>
            <c:ext xmlns:c16="http://schemas.microsoft.com/office/drawing/2014/chart" uri="{C3380CC4-5D6E-409C-BE32-E72D297353CC}">
              <c16:uniqueId val="{00000000-EEE1-4FF6-BC23-BE865B00005D}"/>
            </c:ext>
          </c:extLst>
        </c:ser>
        <c:ser>
          <c:idx val="1"/>
          <c:order val="1"/>
          <c:tx>
            <c:strRef>
              <c:f>'burdochart-3'!$B$146</c:f>
              <c:strCache>
                <c:ptCount val="1"/>
                <c:pt idx="0">
                  <c:v>Horas Estimadas
Restantes</c:v>
                </c:pt>
              </c:strCache>
            </c:strRef>
          </c:tx>
          <c:marker>
            <c:symbol val="none"/>
          </c:marker>
          <c:val>
            <c:numRef>
              <c:f>'burdochart-3'!$C$146:$J$146</c:f>
              <c:numCache>
                <c:formatCode>General</c:formatCode>
                <c:ptCount val="8"/>
                <c:pt idx="0">
                  <c:v>2.5</c:v>
                </c:pt>
                <c:pt idx="1">
                  <c:v>2.1428571428571428</c:v>
                </c:pt>
                <c:pt idx="2">
                  <c:v>1.7857142857142856</c:v>
                </c:pt>
                <c:pt idx="3">
                  <c:v>1.4285714285714284</c:v>
                </c:pt>
                <c:pt idx="4">
                  <c:v>1.0714285714285712</c:v>
                </c:pt>
                <c:pt idx="5">
                  <c:v>0.71428571428571397</c:v>
                </c:pt>
                <c:pt idx="6">
                  <c:v>0.35714285714285682</c:v>
                </c:pt>
                <c:pt idx="7">
                  <c:v>0</c:v>
                </c:pt>
              </c:numCache>
            </c:numRef>
          </c:val>
          <c:smooth val="0"/>
          <c:extLst>
            <c:ext xmlns:c16="http://schemas.microsoft.com/office/drawing/2014/chart" uri="{C3380CC4-5D6E-409C-BE32-E72D297353CC}">
              <c16:uniqueId val="{00000001-EEE1-4FF6-BC23-BE865B00005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1089006"/>
        <c:axId val="1777883363"/>
      </c:lineChart>
      <c:catAx>
        <c:axId val="12108900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777883363"/>
        <c:crosses val="autoZero"/>
        <c:auto val="1"/>
        <c:lblAlgn val="ctr"/>
        <c:lblOffset val="100"/>
        <c:noMultiLvlLbl val="1"/>
      </c:catAx>
      <c:valAx>
        <c:axId val="177788336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s-EC"/>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EC"/>
          </a:p>
        </c:txPr>
        <c:crossAx val="121089006"/>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35007240971067771"/>
          <c:y val="8.6793379843546237E-2"/>
          <c:w val="0.31106216756144234"/>
          <c:h val="9.35202726582329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C"/>
        </a:p>
      </c:txPr>
    </c:legend>
    <c:plotVisOnly val="1"/>
    <c:dispBlanksAs val="zero"/>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es-EC"/>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Proyecto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'burdochart final'!$G$12:$G$13</c:f>
              <c:strCache>
                <c:ptCount val="2"/>
                <c:pt idx="0">
                  <c:v>FINALIZACION DE PROYECTO</c:v>
                </c:pt>
                <c:pt idx="1">
                  <c:v>Horas Estimadas Restantes</c:v>
                </c:pt>
              </c:strCache>
            </c:strRef>
          </c:tx>
          <c:spPr>
            <a:ln w="28575" cap="rnd">
              <a:solidFill>
                <a:schemeClr val="accent1"/>
              </a:solidFill>
              <a:round/>
            </a:ln>
            <a:effectLst/>
          </c:spPr>
          <c:marker>
            <c:symbol val="none"/>
          </c:marker>
          <c:cat>
            <c:strRef>
              <c:f>'burdochart final'!$F$14:$F$17</c:f>
              <c:strCache>
                <c:ptCount val="4"/>
                <c:pt idx="0">
                  <c:v>Inicio de Proyecto</c:v>
                </c:pt>
                <c:pt idx="1">
                  <c:v>Despues del Sprint 1</c:v>
                </c:pt>
                <c:pt idx="2">
                  <c:v>Despues del Sprint 2</c:v>
                </c:pt>
                <c:pt idx="3">
                  <c:v>Proyecto Finalizado</c:v>
                </c:pt>
              </c:strCache>
            </c:strRef>
          </c:cat>
          <c:val>
            <c:numRef>
              <c:f>'burdochart final'!$G$14:$G$17</c:f>
              <c:numCache>
                <c:formatCode>General</c:formatCode>
                <c:ptCount val="4"/>
                <c:pt idx="0">
                  <c:v>96.5</c:v>
                </c:pt>
                <c:pt idx="1">
                  <c:v>48.5</c:v>
                </c:pt>
                <c:pt idx="2">
                  <c:v>22</c:v>
                </c:pt>
                <c:pt idx="3">
                  <c:v>0</c:v>
                </c:pt>
              </c:numCache>
            </c:numRef>
          </c:val>
          <c:smooth val="0"/>
          <c:extLst>
            <c:ext xmlns:c16="http://schemas.microsoft.com/office/drawing/2014/chart" uri="{C3380CC4-5D6E-409C-BE32-E72D297353CC}">
              <c16:uniqueId val="{00000000-4496-4430-B0C7-3261B20EE90D}"/>
            </c:ext>
          </c:extLst>
        </c:ser>
        <c:ser>
          <c:idx val="1"/>
          <c:order val="1"/>
          <c:tx>
            <c:strRef>
              <c:f>'burdochart final'!$H$12:$H$13</c:f>
              <c:strCache>
                <c:ptCount val="2"/>
                <c:pt idx="0">
                  <c:v>FINALIZACION DE PROYECTO</c:v>
                </c:pt>
                <c:pt idx="1">
                  <c:v>Horas Restantes Reales</c:v>
                </c:pt>
              </c:strCache>
            </c:strRef>
          </c:tx>
          <c:spPr>
            <a:ln w="28575" cap="rnd">
              <a:solidFill>
                <a:schemeClr val="accent2"/>
              </a:solidFill>
              <a:round/>
            </a:ln>
            <a:effectLst/>
          </c:spPr>
          <c:marker>
            <c:symbol val="none"/>
          </c:marker>
          <c:cat>
            <c:strRef>
              <c:f>'burdochart final'!$F$14:$F$17</c:f>
              <c:strCache>
                <c:ptCount val="4"/>
                <c:pt idx="0">
                  <c:v>Inicio de Proyecto</c:v>
                </c:pt>
                <c:pt idx="1">
                  <c:v>Despues del Sprint 1</c:v>
                </c:pt>
                <c:pt idx="2">
                  <c:v>Despues del Sprint 2</c:v>
                </c:pt>
                <c:pt idx="3">
                  <c:v>Proyecto Finalizado</c:v>
                </c:pt>
              </c:strCache>
            </c:strRef>
          </c:cat>
          <c:val>
            <c:numRef>
              <c:f>'burdochart final'!$H$14:$H$17</c:f>
              <c:numCache>
                <c:formatCode>General</c:formatCode>
                <c:ptCount val="4"/>
                <c:pt idx="0">
                  <c:v>117.4</c:v>
                </c:pt>
                <c:pt idx="1">
                  <c:v>55.900000000000006</c:v>
                </c:pt>
                <c:pt idx="2">
                  <c:v>26.900000000000006</c:v>
                </c:pt>
                <c:pt idx="3">
                  <c:v>0</c:v>
                </c:pt>
              </c:numCache>
            </c:numRef>
          </c:val>
          <c:smooth val="0"/>
          <c:extLst>
            <c:ext xmlns:c16="http://schemas.microsoft.com/office/drawing/2014/chart" uri="{C3380CC4-5D6E-409C-BE32-E72D297353CC}">
              <c16:uniqueId val="{00000002-4496-4430-B0C7-3261B20EE90D}"/>
            </c:ext>
          </c:extLst>
        </c:ser>
        <c:dLbls>
          <c:showLegendKey val="0"/>
          <c:showVal val="0"/>
          <c:showCatName val="0"/>
          <c:showSerName val="0"/>
          <c:showPercent val="0"/>
          <c:showBubbleSize val="0"/>
        </c:dLbls>
        <c:smooth val="0"/>
        <c:axId val="1543250439"/>
        <c:axId val="1543252487"/>
      </c:lineChart>
      <c:catAx>
        <c:axId val="1543250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252487"/>
        <c:crosses val="autoZero"/>
        <c:auto val="1"/>
        <c:lblAlgn val="ctr"/>
        <c:lblOffset val="100"/>
        <c:noMultiLvlLbl val="0"/>
      </c:catAx>
      <c:valAx>
        <c:axId val="1543252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250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oneCellAnchor>
    <xdr:from>
      <xdr:col>1</xdr:col>
      <xdr:colOff>472185</xdr:colOff>
      <xdr:row>12</xdr:row>
      <xdr:rowOff>169811</xdr:rowOff>
    </xdr:from>
    <xdr:ext cx="9065773" cy="3517077"/>
    <xdr:graphicFrame macro="">
      <xdr:nvGraphicFramePr>
        <xdr:cNvPr id="2" name="Chart 1" title="Gráfico">
          <a:extLst>
            <a:ext uri="{FF2B5EF4-FFF2-40B4-BE49-F238E27FC236}">
              <a16:creationId xmlns:a16="http://schemas.microsoft.com/office/drawing/2014/main" id="{5EEF0C3E-7660-4A7B-ACCC-70DD13247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2</xdr:col>
      <xdr:colOff>375429</xdr:colOff>
      <xdr:row>12</xdr:row>
      <xdr:rowOff>116242</xdr:rowOff>
    </xdr:from>
    <xdr:to>
      <xdr:col>8</xdr:col>
      <xdr:colOff>492450</xdr:colOff>
      <xdr:row>13</xdr:row>
      <xdr:rowOff>187907</xdr:rowOff>
    </xdr:to>
    <xdr:sp macro="" textlink="">
      <xdr:nvSpPr>
        <xdr:cNvPr id="3" name="CuadroTexto 2">
          <a:extLst>
            <a:ext uri="{FF2B5EF4-FFF2-40B4-BE49-F238E27FC236}">
              <a16:creationId xmlns:a16="http://schemas.microsoft.com/office/drawing/2014/main" id="{F7DB4B97-485A-6F7E-2651-A0CDB1EFA0AB}"/>
            </a:ext>
          </a:extLst>
        </xdr:cNvPr>
        <xdr:cNvSpPr txBox="1"/>
      </xdr:nvSpPr>
      <xdr:spPr>
        <a:xfrm>
          <a:off x="2980225" y="2643283"/>
          <a:ext cx="5624674" cy="266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REQ001</a:t>
          </a:r>
          <a:r>
            <a:rPr lang="es-EC" sz="1600" b="1" baseline="0">
              <a:latin typeface="Calibri" panose="020F0502020204030204" pitchFamily="34" charset="0"/>
              <a:ea typeface="Calibri" panose="020F0502020204030204" pitchFamily="34" charset="0"/>
              <a:cs typeface="Calibri" panose="020F0502020204030204" pitchFamily="34" charset="0"/>
            </a:rPr>
            <a:t> - NAVEGACIÓN POR EL SISTEMA</a:t>
          </a:r>
          <a:endParaRPr lang="es-EC"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1</xdr:col>
      <xdr:colOff>501730</xdr:colOff>
      <xdr:row>40</xdr:row>
      <xdr:rowOff>141112</xdr:rowOff>
    </xdr:from>
    <xdr:ext cx="8137406" cy="3517077"/>
    <xdr:graphicFrame macro="">
      <xdr:nvGraphicFramePr>
        <xdr:cNvPr id="64" name="Chart 1" title="Gráfico">
          <a:extLst>
            <a:ext uri="{FF2B5EF4-FFF2-40B4-BE49-F238E27FC236}">
              <a16:creationId xmlns:a16="http://schemas.microsoft.com/office/drawing/2014/main" id="{A5763812-8B3A-4F7E-8858-B844F451C085}"/>
            </a:ext>
            <a:ext uri="{147F2762-F138-4A5C-976F-8EAC2B608ADB}">
              <a16:predDERef xmlns:a16="http://schemas.microsoft.com/office/drawing/2014/main" pred="{F7DB4B97-485A-6F7E-2651-A0CDB1EFA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twoCellAnchor>
    <xdr:from>
      <xdr:col>2</xdr:col>
      <xdr:colOff>611481</xdr:colOff>
      <xdr:row>40</xdr:row>
      <xdr:rowOff>156790</xdr:rowOff>
    </xdr:from>
    <xdr:to>
      <xdr:col>8</xdr:col>
      <xdr:colOff>728502</xdr:colOff>
      <xdr:row>42</xdr:row>
      <xdr:rowOff>32468</xdr:rowOff>
    </xdr:to>
    <xdr:sp macro="" textlink="">
      <xdr:nvSpPr>
        <xdr:cNvPr id="6" name="CuadroTexto 5">
          <a:extLst>
            <a:ext uri="{FF2B5EF4-FFF2-40B4-BE49-F238E27FC236}">
              <a16:creationId xmlns:a16="http://schemas.microsoft.com/office/drawing/2014/main" id="{2F222126-8194-49D1-9563-4AAA2EF0AEE8}"/>
            </a:ext>
          </a:extLst>
        </xdr:cNvPr>
        <xdr:cNvSpPr txBox="1"/>
      </xdr:nvSpPr>
      <xdr:spPr>
        <a:xfrm>
          <a:off x="3214197" y="8490185"/>
          <a:ext cx="5643873" cy="26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REQ002</a:t>
          </a:r>
          <a:r>
            <a:rPr lang="es-EC" sz="1600" b="1" baseline="0">
              <a:latin typeface="Calibri" panose="020F0502020204030204" pitchFamily="34" charset="0"/>
              <a:ea typeface="Calibri" panose="020F0502020204030204" pitchFamily="34" charset="0"/>
              <a:cs typeface="Calibri" panose="020F0502020204030204" pitchFamily="34" charset="0"/>
            </a:rPr>
            <a:t> - REGISTRO DE PRODUCTOS</a:t>
          </a:r>
          <a:endParaRPr lang="es-EC"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846666</xdr:colOff>
      <xdr:row>98</xdr:row>
      <xdr:rowOff>54876</xdr:rowOff>
    </xdr:from>
    <xdr:to>
      <xdr:col>8</xdr:col>
      <xdr:colOff>963687</xdr:colOff>
      <xdr:row>99</xdr:row>
      <xdr:rowOff>126541</xdr:rowOff>
    </xdr:to>
    <xdr:sp macro="" textlink="">
      <xdr:nvSpPr>
        <xdr:cNvPr id="40" name="CuadroTexto 7">
          <a:extLst>
            <a:ext uri="{FF2B5EF4-FFF2-40B4-BE49-F238E27FC236}">
              <a16:creationId xmlns:a16="http://schemas.microsoft.com/office/drawing/2014/main" id="{866283CF-5075-411C-ACCF-2188A73D43CB}"/>
            </a:ext>
          </a:extLst>
        </xdr:cNvPr>
        <xdr:cNvSpPr txBox="1"/>
      </xdr:nvSpPr>
      <xdr:spPr>
        <a:xfrm>
          <a:off x="3449382" y="14753950"/>
          <a:ext cx="5643873" cy="26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REQ004</a:t>
          </a:r>
          <a:r>
            <a:rPr lang="es-EC" sz="1600" b="1" baseline="0">
              <a:latin typeface="Calibri" panose="020F0502020204030204" pitchFamily="34" charset="0"/>
              <a:ea typeface="Calibri" panose="020F0502020204030204" pitchFamily="34" charset="0"/>
              <a:cs typeface="Calibri" panose="020F0502020204030204" pitchFamily="34" charset="0"/>
            </a:rPr>
            <a:t> - REGISTRO DE CLIENTES</a:t>
          </a:r>
          <a:endParaRPr lang="es-EC"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1</xdr:col>
      <xdr:colOff>752592</xdr:colOff>
      <xdr:row>126</xdr:row>
      <xdr:rowOff>188149</xdr:rowOff>
    </xdr:from>
    <xdr:ext cx="8137406" cy="3517077"/>
    <xdr:graphicFrame macro="">
      <xdr:nvGraphicFramePr>
        <xdr:cNvPr id="9" name="Chart 1" title="Gráfico">
          <a:extLst>
            <a:ext uri="{FF2B5EF4-FFF2-40B4-BE49-F238E27FC236}">
              <a16:creationId xmlns:a16="http://schemas.microsoft.com/office/drawing/2014/main" id="{6F954CEF-3859-4B3F-B508-AD9C504D0E02}"/>
            </a:ext>
            <a:ext uri="{147F2762-F138-4A5C-976F-8EAC2B608ADB}">
              <a16:predDERef xmlns:a16="http://schemas.microsoft.com/office/drawing/2014/main" pred="{866283CF-5075-411C-ACCF-2188A73D4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twoCellAnchor>
    <xdr:from>
      <xdr:col>2</xdr:col>
      <xdr:colOff>603642</xdr:colOff>
      <xdr:row>127</xdr:row>
      <xdr:rowOff>15678</xdr:rowOff>
    </xdr:from>
    <xdr:to>
      <xdr:col>8</xdr:col>
      <xdr:colOff>720663</xdr:colOff>
      <xdr:row>128</xdr:row>
      <xdr:rowOff>87343</xdr:rowOff>
    </xdr:to>
    <xdr:sp macro="" textlink="">
      <xdr:nvSpPr>
        <xdr:cNvPr id="42" name="CuadroTexto 11">
          <a:extLst>
            <a:ext uri="{FF2B5EF4-FFF2-40B4-BE49-F238E27FC236}">
              <a16:creationId xmlns:a16="http://schemas.microsoft.com/office/drawing/2014/main" id="{139B3D90-5A0C-4C87-B051-40939E8D6ACB}"/>
            </a:ext>
          </a:extLst>
        </xdr:cNvPr>
        <xdr:cNvSpPr txBox="1"/>
      </xdr:nvSpPr>
      <xdr:spPr>
        <a:xfrm>
          <a:off x="3206358" y="20649258"/>
          <a:ext cx="5643873" cy="26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REQ005</a:t>
          </a:r>
          <a:r>
            <a:rPr lang="es-EC" sz="1600" b="1" baseline="0">
              <a:latin typeface="Calibri" panose="020F0502020204030204" pitchFamily="34" charset="0"/>
              <a:ea typeface="Calibri" panose="020F0502020204030204" pitchFamily="34" charset="0"/>
              <a:cs typeface="Calibri" panose="020F0502020204030204" pitchFamily="34" charset="0"/>
            </a:rPr>
            <a:t> - ACTUALIZACIÓN DE CLIENTES</a:t>
          </a:r>
          <a:endParaRPr lang="es-EC"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1</xdr:col>
      <xdr:colOff>1011296</xdr:colOff>
      <xdr:row>68</xdr:row>
      <xdr:rowOff>39198</xdr:rowOff>
    </xdr:from>
    <xdr:ext cx="8137406" cy="3517077"/>
    <xdr:graphicFrame macro="">
      <xdr:nvGraphicFramePr>
        <xdr:cNvPr id="44" name="Chart 1" title="Gráfico">
          <a:extLst>
            <a:ext uri="{FF2B5EF4-FFF2-40B4-BE49-F238E27FC236}">
              <a16:creationId xmlns:a16="http://schemas.microsoft.com/office/drawing/2014/main" id="{168D8237-FD36-4B98-9BD7-ED54F7BAA0C2}"/>
            </a:ext>
            <a:ext uri="{147F2762-F138-4A5C-976F-8EAC2B608ADB}">
              <a16:predDERef xmlns:a16="http://schemas.microsoft.com/office/drawing/2014/main" pred="{139B3D90-5A0C-4C87-B051-40939E8D6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twoCellAnchor>
    <xdr:from>
      <xdr:col>2</xdr:col>
      <xdr:colOff>846666</xdr:colOff>
      <xdr:row>68</xdr:row>
      <xdr:rowOff>54876</xdr:rowOff>
    </xdr:from>
    <xdr:to>
      <xdr:col>8</xdr:col>
      <xdr:colOff>963687</xdr:colOff>
      <xdr:row>69</xdr:row>
      <xdr:rowOff>126541</xdr:rowOff>
    </xdr:to>
    <xdr:sp macro="" textlink="">
      <xdr:nvSpPr>
        <xdr:cNvPr id="38" name="CuadroTexto 10">
          <a:extLst>
            <a:ext uri="{FF2B5EF4-FFF2-40B4-BE49-F238E27FC236}">
              <a16:creationId xmlns:a16="http://schemas.microsoft.com/office/drawing/2014/main" id="{DC67EDCB-03A9-486F-BC57-AAB06B5C16D8}"/>
            </a:ext>
          </a:extLst>
        </xdr:cNvPr>
        <xdr:cNvSpPr txBox="1"/>
      </xdr:nvSpPr>
      <xdr:spPr>
        <a:xfrm>
          <a:off x="3449382" y="20241604"/>
          <a:ext cx="5643873" cy="26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REQ003</a:t>
          </a:r>
          <a:r>
            <a:rPr lang="es-EC" sz="1600" b="1" baseline="0">
              <a:latin typeface="Calibri" panose="020F0502020204030204" pitchFamily="34" charset="0"/>
              <a:ea typeface="Calibri" panose="020F0502020204030204" pitchFamily="34" charset="0"/>
              <a:cs typeface="Calibri" panose="020F0502020204030204" pitchFamily="34" charset="0"/>
            </a:rPr>
            <a:t> - GESTION DE PRODUCTOS</a:t>
          </a:r>
          <a:endParaRPr lang="es-EC"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1562100</xdr:colOff>
      <xdr:row>99</xdr:row>
      <xdr:rowOff>104775</xdr:rowOff>
    </xdr:from>
    <xdr:to>
      <xdr:col>9</xdr:col>
      <xdr:colOff>600075</xdr:colOff>
      <xdr:row>116</xdr:row>
      <xdr:rowOff>142875</xdr:rowOff>
    </xdr:to>
    <xdr:graphicFrame macro="">
      <xdr:nvGraphicFramePr>
        <xdr:cNvPr id="4" name="Gráfico 3">
          <a:extLst>
            <a:ext uri="{FF2B5EF4-FFF2-40B4-BE49-F238E27FC236}">
              <a16:creationId xmlns:a16="http://schemas.microsoft.com/office/drawing/2014/main" id="{EB1B8945-8321-2753-6235-F65DA40A8589}"/>
            </a:ext>
            <a:ext uri="{147F2762-F138-4A5C-976F-8EAC2B608ADB}">
              <a16:predDERef xmlns:a16="http://schemas.microsoft.com/office/drawing/2014/main" pred="{DC67EDCB-03A9-486F-BC57-AAB06B5C1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10</xdr:row>
      <xdr:rowOff>53569</xdr:rowOff>
    </xdr:from>
    <xdr:ext cx="9065773" cy="3517077"/>
    <xdr:graphicFrame macro="">
      <xdr:nvGraphicFramePr>
        <xdr:cNvPr id="3" name="Chart 1" title="Gráfico">
          <a:extLst>
            <a:ext uri="{FF2B5EF4-FFF2-40B4-BE49-F238E27FC236}">
              <a16:creationId xmlns:a16="http://schemas.microsoft.com/office/drawing/2014/main" id="{F63C2296-7618-4379-8892-C351C4867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1</xdr:col>
      <xdr:colOff>1640635</xdr:colOff>
      <xdr:row>10</xdr:row>
      <xdr:rowOff>12700</xdr:rowOff>
    </xdr:from>
    <xdr:to>
      <xdr:col>8</xdr:col>
      <xdr:colOff>32808</xdr:colOff>
      <xdr:row>11</xdr:row>
      <xdr:rowOff>121603</xdr:rowOff>
    </xdr:to>
    <xdr:sp macro="" textlink="">
      <xdr:nvSpPr>
        <xdr:cNvPr id="4" name="CuadroTexto 3">
          <a:extLst>
            <a:ext uri="{FF2B5EF4-FFF2-40B4-BE49-F238E27FC236}">
              <a16:creationId xmlns:a16="http://schemas.microsoft.com/office/drawing/2014/main" id="{FD825ED6-462F-4CEA-8EEB-7BC991088C90}"/>
            </a:ext>
            <a:ext uri="{147F2762-F138-4A5C-976F-8EAC2B608ADB}">
              <a16:predDERef xmlns:a16="http://schemas.microsoft.com/office/drawing/2014/main" pred="{F63C2296-7618-4379-8892-C351C4867C4E}"/>
            </a:ext>
          </a:extLst>
        </xdr:cNvPr>
        <xdr:cNvSpPr txBox="1"/>
      </xdr:nvSpPr>
      <xdr:spPr>
        <a:xfrm>
          <a:off x="2402635" y="1600200"/>
          <a:ext cx="5643873" cy="26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REQ006</a:t>
          </a:r>
          <a:r>
            <a:rPr lang="es-EC" sz="1600" b="1" baseline="0">
              <a:latin typeface="Calibri" panose="020F0502020204030204" pitchFamily="34" charset="0"/>
              <a:ea typeface="Calibri" panose="020F0502020204030204" pitchFamily="34" charset="0"/>
              <a:cs typeface="Calibri" panose="020F0502020204030204" pitchFamily="34" charset="0"/>
            </a:rPr>
            <a:t> - ALERTA DE FECHA DE CUMPLEAÑOS</a:t>
          </a:r>
          <a:endParaRPr lang="es-EC"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0</xdr:col>
      <xdr:colOff>752475</xdr:colOff>
      <xdr:row>43</xdr:row>
      <xdr:rowOff>38100</xdr:rowOff>
    </xdr:from>
    <xdr:ext cx="8582025" cy="2905125"/>
    <xdr:graphicFrame macro="">
      <xdr:nvGraphicFramePr>
        <xdr:cNvPr id="5" name="Chart 1" title="Gráfico">
          <a:extLst>
            <a:ext uri="{FF2B5EF4-FFF2-40B4-BE49-F238E27FC236}">
              <a16:creationId xmlns:a16="http://schemas.microsoft.com/office/drawing/2014/main" id="{90C72B6B-4422-4A62-B845-1504270E1A65}"/>
            </a:ext>
            <a:ext uri="{147F2762-F138-4A5C-976F-8EAC2B608ADB}">
              <a16:predDERef xmlns:a16="http://schemas.microsoft.com/office/drawing/2014/main" pred="{FD825ED6-462F-4CEA-8EEB-7BC991088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twoCellAnchor>
    <xdr:from>
      <xdr:col>1</xdr:col>
      <xdr:colOff>1640635</xdr:colOff>
      <xdr:row>43</xdr:row>
      <xdr:rowOff>0</xdr:rowOff>
    </xdr:from>
    <xdr:to>
      <xdr:col>8</xdr:col>
      <xdr:colOff>32808</xdr:colOff>
      <xdr:row>44</xdr:row>
      <xdr:rowOff>108903</xdr:rowOff>
    </xdr:to>
    <xdr:sp macro="" textlink="">
      <xdr:nvSpPr>
        <xdr:cNvPr id="6" name="CuadroTexto 5">
          <a:extLst>
            <a:ext uri="{FF2B5EF4-FFF2-40B4-BE49-F238E27FC236}">
              <a16:creationId xmlns:a16="http://schemas.microsoft.com/office/drawing/2014/main" id="{09557FDA-1E8A-49B3-A79A-9702707E55A5}"/>
            </a:ext>
            <a:ext uri="{147F2762-F138-4A5C-976F-8EAC2B608ADB}">
              <a16:predDERef xmlns:a16="http://schemas.microsoft.com/office/drawing/2014/main" pred="{90C72B6B-4422-4A62-B845-1504270E1A65}"/>
            </a:ext>
          </a:extLst>
        </xdr:cNvPr>
        <xdr:cNvSpPr txBox="1"/>
      </xdr:nvSpPr>
      <xdr:spPr>
        <a:xfrm>
          <a:off x="2399107" y="6667500"/>
          <a:ext cx="5624118" cy="26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REQ007</a:t>
          </a:r>
          <a:r>
            <a:rPr lang="es-EC" sz="1600" b="1" baseline="0">
              <a:latin typeface="Calibri" panose="020F0502020204030204" pitchFamily="34" charset="0"/>
              <a:ea typeface="Calibri" panose="020F0502020204030204" pitchFamily="34" charset="0"/>
              <a:cs typeface="Calibri" panose="020F0502020204030204" pitchFamily="34" charset="0"/>
            </a:rPr>
            <a:t> - REGISTRO DE CLIENTES POTENCIALES</a:t>
          </a:r>
          <a:endParaRPr lang="es-EC"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1</xdr:col>
      <xdr:colOff>0</xdr:colOff>
      <xdr:row>76</xdr:row>
      <xdr:rowOff>38100</xdr:rowOff>
    </xdr:from>
    <xdr:ext cx="8629650" cy="3114675"/>
    <xdr:graphicFrame macro="">
      <xdr:nvGraphicFramePr>
        <xdr:cNvPr id="7" name="Chart 1" title="Gráfico">
          <a:extLst>
            <a:ext uri="{FF2B5EF4-FFF2-40B4-BE49-F238E27FC236}">
              <a16:creationId xmlns:a16="http://schemas.microsoft.com/office/drawing/2014/main" id="{24BCF082-A625-4E51-82E4-7E4F0DFE8248}"/>
            </a:ext>
            <a:ext uri="{147F2762-F138-4A5C-976F-8EAC2B608ADB}">
              <a16:predDERef xmlns:a16="http://schemas.microsoft.com/office/drawing/2014/main" pred="{09557FDA-1E8A-49B3-A79A-9702707E5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twoCellAnchor>
    <xdr:from>
      <xdr:col>1</xdr:col>
      <xdr:colOff>1640635</xdr:colOff>
      <xdr:row>76</xdr:row>
      <xdr:rowOff>0</xdr:rowOff>
    </xdr:from>
    <xdr:to>
      <xdr:col>8</xdr:col>
      <xdr:colOff>32808</xdr:colOff>
      <xdr:row>77</xdr:row>
      <xdr:rowOff>108903</xdr:rowOff>
    </xdr:to>
    <xdr:sp macro="" textlink="">
      <xdr:nvSpPr>
        <xdr:cNvPr id="8" name="CuadroTexto 7">
          <a:extLst>
            <a:ext uri="{FF2B5EF4-FFF2-40B4-BE49-F238E27FC236}">
              <a16:creationId xmlns:a16="http://schemas.microsoft.com/office/drawing/2014/main" id="{C63B5BAA-AAD8-4DBB-AD3B-7B3325FB38B2}"/>
            </a:ext>
            <a:ext uri="{147F2762-F138-4A5C-976F-8EAC2B608ADB}">
              <a16:predDERef xmlns:a16="http://schemas.microsoft.com/office/drawing/2014/main" pred="{24BCF082-A625-4E51-82E4-7E4F0DFE8248}"/>
            </a:ext>
          </a:extLst>
        </xdr:cNvPr>
        <xdr:cNvSpPr txBox="1"/>
      </xdr:nvSpPr>
      <xdr:spPr>
        <a:xfrm>
          <a:off x="2402635" y="12031579"/>
          <a:ext cx="5651226" cy="269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REQ008</a:t>
          </a:r>
          <a:r>
            <a:rPr lang="es-EC" sz="1600" b="1" baseline="0">
              <a:latin typeface="Calibri" panose="020F0502020204030204" pitchFamily="34" charset="0"/>
              <a:ea typeface="Calibri" panose="020F0502020204030204" pitchFamily="34" charset="0"/>
              <a:cs typeface="Calibri" panose="020F0502020204030204" pitchFamily="34" charset="0"/>
            </a:rPr>
            <a:t> - GESTIÓN DE CLIENTES POTENCIALES</a:t>
          </a:r>
          <a:endParaRPr lang="es-EC"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0</xdr:col>
      <xdr:colOff>704850</xdr:colOff>
      <xdr:row>109</xdr:row>
      <xdr:rowOff>12294</xdr:rowOff>
    </xdr:from>
    <xdr:ext cx="9065773" cy="3517077"/>
    <xdr:graphicFrame macro="">
      <xdr:nvGraphicFramePr>
        <xdr:cNvPr id="9" name="Chart 1" title="Gráfico">
          <a:extLst>
            <a:ext uri="{FF2B5EF4-FFF2-40B4-BE49-F238E27FC236}">
              <a16:creationId xmlns:a16="http://schemas.microsoft.com/office/drawing/2014/main" id="{34C77BB0-6F87-4CDF-B11F-DBF866BA3EB8}"/>
            </a:ext>
            <a:ext uri="{147F2762-F138-4A5C-976F-8EAC2B608ADB}">
              <a16:predDERef xmlns:a16="http://schemas.microsoft.com/office/drawing/2014/main" pred="{C63B5BAA-AAD8-4DBB-AD3B-7B3325FB3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twoCellAnchor>
    <xdr:from>
      <xdr:col>1</xdr:col>
      <xdr:colOff>1640635</xdr:colOff>
      <xdr:row>107</xdr:row>
      <xdr:rowOff>0</xdr:rowOff>
    </xdr:from>
    <xdr:to>
      <xdr:col>8</xdr:col>
      <xdr:colOff>32808</xdr:colOff>
      <xdr:row>108</xdr:row>
      <xdr:rowOff>108903</xdr:rowOff>
    </xdr:to>
    <xdr:sp macro="" textlink="">
      <xdr:nvSpPr>
        <xdr:cNvPr id="10" name="CuadroTexto 9">
          <a:extLst>
            <a:ext uri="{FF2B5EF4-FFF2-40B4-BE49-F238E27FC236}">
              <a16:creationId xmlns:a16="http://schemas.microsoft.com/office/drawing/2014/main" id="{2DCC702D-C099-4569-AA64-7C71370F6BA2}"/>
            </a:ext>
            <a:ext uri="{147F2762-F138-4A5C-976F-8EAC2B608ADB}">
              <a16:predDERef xmlns:a16="http://schemas.microsoft.com/office/drawing/2014/main" pred="{34C77BB0-6F87-4CDF-B11F-DBF866BA3EB8}"/>
            </a:ext>
          </a:extLst>
        </xdr:cNvPr>
        <xdr:cNvSpPr txBox="1"/>
      </xdr:nvSpPr>
      <xdr:spPr>
        <a:xfrm>
          <a:off x="2402635" y="17165053"/>
          <a:ext cx="5651226" cy="269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REQ009 - GESTIÓN DE CLIENTES INACTIVOS</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472185</xdr:colOff>
      <xdr:row>13</xdr:row>
      <xdr:rowOff>169811</xdr:rowOff>
    </xdr:from>
    <xdr:ext cx="9065773" cy="3517077"/>
    <xdr:graphicFrame macro="">
      <xdr:nvGraphicFramePr>
        <xdr:cNvPr id="4" name="Chart 1" title="Gráfico">
          <a:extLst>
            <a:ext uri="{FF2B5EF4-FFF2-40B4-BE49-F238E27FC236}">
              <a16:creationId xmlns:a16="http://schemas.microsoft.com/office/drawing/2014/main" id="{6425D9F0-9825-4FCC-A700-AA50F6E69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3</xdr:col>
      <xdr:colOff>404004</xdr:colOff>
      <xdr:row>14</xdr:row>
      <xdr:rowOff>11467</xdr:rowOff>
    </xdr:from>
    <xdr:to>
      <xdr:col>9</xdr:col>
      <xdr:colOff>92400</xdr:colOff>
      <xdr:row>15</xdr:row>
      <xdr:rowOff>54557</xdr:rowOff>
    </xdr:to>
    <xdr:sp macro="" textlink="">
      <xdr:nvSpPr>
        <xdr:cNvPr id="6" name="CuadroTexto 2">
          <a:extLst>
            <a:ext uri="{FF2B5EF4-FFF2-40B4-BE49-F238E27FC236}">
              <a16:creationId xmlns:a16="http://schemas.microsoft.com/office/drawing/2014/main" id="{714F868A-E4CB-4B4B-B052-2621C0E62CDD}"/>
            </a:ext>
            <a:ext uri="{147F2762-F138-4A5C-976F-8EAC2B608ADB}">
              <a16:predDERef xmlns:a16="http://schemas.microsoft.com/office/drawing/2014/main" pred="{6425D9F0-9825-4FCC-A700-AA50F6E690D1}"/>
            </a:ext>
          </a:extLst>
        </xdr:cNvPr>
        <xdr:cNvSpPr txBox="1"/>
      </xdr:nvSpPr>
      <xdr:spPr>
        <a:xfrm>
          <a:off x="13281804" y="2278417"/>
          <a:ext cx="3774621" cy="205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REQ010 - CATALOGO DE PRODUCTOS</a:t>
          </a:r>
        </a:p>
      </xdr:txBody>
    </xdr:sp>
    <xdr:clientData/>
  </xdr:twoCellAnchor>
  <xdr:oneCellAnchor>
    <xdr:from>
      <xdr:col>1</xdr:col>
      <xdr:colOff>0</xdr:colOff>
      <xdr:row>51</xdr:row>
      <xdr:rowOff>40869</xdr:rowOff>
    </xdr:from>
    <xdr:ext cx="9065773" cy="3517077"/>
    <xdr:graphicFrame macro="">
      <xdr:nvGraphicFramePr>
        <xdr:cNvPr id="7" name="Chart 1" title="Gráfico">
          <a:extLst>
            <a:ext uri="{FF2B5EF4-FFF2-40B4-BE49-F238E27FC236}">
              <a16:creationId xmlns:a16="http://schemas.microsoft.com/office/drawing/2014/main" id="{A4470607-210F-4177-A1B3-5916418E19F2}"/>
            </a:ext>
            <a:ext uri="{147F2762-F138-4A5C-976F-8EAC2B608ADB}">
              <a16:predDERef xmlns:a16="http://schemas.microsoft.com/office/drawing/2014/main" pred="{714F868A-E4CB-4B4B-B052-2621C0E62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twoCellAnchor>
    <xdr:from>
      <xdr:col>3</xdr:col>
      <xdr:colOff>97585</xdr:colOff>
      <xdr:row>51</xdr:row>
      <xdr:rowOff>28575</xdr:rowOff>
    </xdr:from>
    <xdr:to>
      <xdr:col>8</xdr:col>
      <xdr:colOff>839258</xdr:colOff>
      <xdr:row>52</xdr:row>
      <xdr:rowOff>134303</xdr:rowOff>
    </xdr:to>
    <xdr:sp macro="" textlink="">
      <xdr:nvSpPr>
        <xdr:cNvPr id="8" name="CuadroTexto 5">
          <a:extLst>
            <a:ext uri="{FF2B5EF4-FFF2-40B4-BE49-F238E27FC236}">
              <a16:creationId xmlns:a16="http://schemas.microsoft.com/office/drawing/2014/main" id="{78DD5009-B682-485C-A11B-3F3D0355C9CB}"/>
            </a:ext>
            <a:ext uri="{147F2762-F138-4A5C-976F-8EAC2B608ADB}">
              <a16:predDERef xmlns:a16="http://schemas.microsoft.com/office/drawing/2014/main" pred="{A4470607-210F-4177-A1B3-5916418E19F2}"/>
            </a:ext>
          </a:extLst>
        </xdr:cNvPr>
        <xdr:cNvSpPr txBox="1"/>
      </xdr:nvSpPr>
      <xdr:spPr>
        <a:xfrm>
          <a:off x="3212260" y="8124825"/>
          <a:ext cx="4380223" cy="26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C" sz="1600" b="1">
              <a:latin typeface="Calibri" panose="020F0502020204030204" pitchFamily="34" charset="0"/>
              <a:ea typeface="Calibri" panose="020F0502020204030204" pitchFamily="34" charset="0"/>
              <a:cs typeface="Calibri" panose="020F0502020204030204" pitchFamily="34" charset="0"/>
            </a:rPr>
            <a:t>REQ011 -REGISTRO DE VENTAS</a:t>
          </a:r>
        </a:p>
      </xdr:txBody>
    </xdr:sp>
    <xdr:clientData/>
  </xdr:twoCellAnchor>
  <xdr:oneCellAnchor>
    <xdr:from>
      <xdr:col>1</xdr:col>
      <xdr:colOff>0</xdr:colOff>
      <xdr:row>112</xdr:row>
      <xdr:rowOff>40869</xdr:rowOff>
    </xdr:from>
    <xdr:ext cx="9065773" cy="3517077"/>
    <xdr:graphicFrame macro="">
      <xdr:nvGraphicFramePr>
        <xdr:cNvPr id="11" name="Chart 1" title="Gráfico">
          <a:extLst>
            <a:ext uri="{FF2B5EF4-FFF2-40B4-BE49-F238E27FC236}">
              <a16:creationId xmlns:a16="http://schemas.microsoft.com/office/drawing/2014/main" id="{95800C0B-63BB-4CCE-8E91-0B6CEE56E99A}"/>
            </a:ext>
            <a:ext uri="{147F2762-F138-4A5C-976F-8EAC2B608ADB}">
              <a16:predDERef xmlns:a16="http://schemas.microsoft.com/office/drawing/2014/main" pred="{78DD5009-B682-485C-A11B-3F3D0355C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twoCellAnchor>
    <xdr:from>
      <xdr:col>2</xdr:col>
      <xdr:colOff>326185</xdr:colOff>
      <xdr:row>112</xdr:row>
      <xdr:rowOff>38100</xdr:rowOff>
    </xdr:from>
    <xdr:to>
      <xdr:col>8</xdr:col>
      <xdr:colOff>448733</xdr:colOff>
      <xdr:row>113</xdr:row>
      <xdr:rowOff>143828</xdr:rowOff>
    </xdr:to>
    <xdr:sp macro="" textlink="">
      <xdr:nvSpPr>
        <xdr:cNvPr id="12" name="CuadroTexto 5">
          <a:extLst>
            <a:ext uri="{FF2B5EF4-FFF2-40B4-BE49-F238E27FC236}">
              <a16:creationId xmlns:a16="http://schemas.microsoft.com/office/drawing/2014/main" id="{EA1708B9-D1FD-4074-B506-112999C638D1}"/>
            </a:ext>
            <a:ext uri="{147F2762-F138-4A5C-976F-8EAC2B608ADB}">
              <a16:predDERef xmlns:a16="http://schemas.microsoft.com/office/drawing/2014/main" pred="{95800C0B-63BB-4CCE-8E91-0B6CEE56E99A}"/>
            </a:ext>
          </a:extLst>
        </xdr:cNvPr>
        <xdr:cNvSpPr txBox="1"/>
      </xdr:nvSpPr>
      <xdr:spPr>
        <a:xfrm>
          <a:off x="2745535" y="17145000"/>
          <a:ext cx="4294498" cy="258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a:solidFill>
                <a:schemeClr val="dk1"/>
              </a:solidFill>
              <a:latin typeface="Calibri" panose="020F0502020204030204" pitchFamily="34" charset="0"/>
              <a:ea typeface="Calibri" panose="020F0502020204030204" pitchFamily="34" charset="0"/>
              <a:cs typeface="Calibri" panose="020F0502020204030204" pitchFamily="34" charset="0"/>
            </a:rPr>
            <a:t>REQ012 -EMISION DE NOTA DE VENTA</a:t>
          </a:r>
        </a:p>
      </xdr:txBody>
    </xdr:sp>
    <xdr:clientData/>
  </xdr:twoCellAnchor>
  <xdr:oneCellAnchor>
    <xdr:from>
      <xdr:col>1</xdr:col>
      <xdr:colOff>0</xdr:colOff>
      <xdr:row>147</xdr:row>
      <xdr:rowOff>40869</xdr:rowOff>
    </xdr:from>
    <xdr:ext cx="9065773" cy="3517077"/>
    <xdr:graphicFrame macro="">
      <xdr:nvGraphicFramePr>
        <xdr:cNvPr id="13" name="Chart 1" title="Gráfico">
          <a:extLst>
            <a:ext uri="{FF2B5EF4-FFF2-40B4-BE49-F238E27FC236}">
              <a16:creationId xmlns:a16="http://schemas.microsoft.com/office/drawing/2014/main" id="{7E9EBD4D-9B02-4C11-B365-30BC9A79618A}"/>
            </a:ext>
            <a:ext uri="{147F2762-F138-4A5C-976F-8EAC2B608ADB}">
              <a16:predDERef xmlns:a16="http://schemas.microsoft.com/office/drawing/2014/main" pred="{EA1708B9-D1FD-4074-B506-112999C63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twoCellAnchor>
    <xdr:from>
      <xdr:col>3</xdr:col>
      <xdr:colOff>116635</xdr:colOff>
      <xdr:row>147</xdr:row>
      <xdr:rowOff>9525</xdr:rowOff>
    </xdr:from>
    <xdr:to>
      <xdr:col>8</xdr:col>
      <xdr:colOff>858308</xdr:colOff>
      <xdr:row>148</xdr:row>
      <xdr:rowOff>115253</xdr:rowOff>
    </xdr:to>
    <xdr:sp macro="" textlink="">
      <xdr:nvSpPr>
        <xdr:cNvPr id="14" name="CuadroTexto 5">
          <a:extLst>
            <a:ext uri="{FF2B5EF4-FFF2-40B4-BE49-F238E27FC236}">
              <a16:creationId xmlns:a16="http://schemas.microsoft.com/office/drawing/2014/main" id="{D389A369-8355-4D5D-BA85-B2F00F04EC34}"/>
            </a:ext>
            <a:ext uri="{147F2762-F138-4A5C-976F-8EAC2B608ADB}">
              <a16:predDERef xmlns:a16="http://schemas.microsoft.com/office/drawing/2014/main" pred="{7E9EBD4D-9B02-4C11-B365-30BC9A79618A}"/>
            </a:ext>
          </a:extLst>
        </xdr:cNvPr>
        <xdr:cNvSpPr txBox="1"/>
      </xdr:nvSpPr>
      <xdr:spPr>
        <a:xfrm>
          <a:off x="3231310" y="24784050"/>
          <a:ext cx="4380223" cy="26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a:solidFill>
                <a:schemeClr val="dk1"/>
              </a:solidFill>
              <a:latin typeface="Calibri" panose="020F0502020204030204" pitchFamily="34" charset="0"/>
              <a:ea typeface="Calibri" panose="020F0502020204030204" pitchFamily="34" charset="0"/>
              <a:cs typeface="Calibri" panose="020F0502020204030204" pitchFamily="34" charset="0"/>
            </a:rPr>
            <a:t>REQ013 -EXPORTACION DE REPORTES EN EXCEL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857250</xdr:colOff>
      <xdr:row>18</xdr:row>
      <xdr:rowOff>104775</xdr:rowOff>
    </xdr:from>
    <xdr:to>
      <xdr:col>9</xdr:col>
      <xdr:colOff>352425</xdr:colOff>
      <xdr:row>40</xdr:row>
      <xdr:rowOff>28575</xdr:rowOff>
    </xdr:to>
    <xdr:graphicFrame macro="">
      <xdr:nvGraphicFramePr>
        <xdr:cNvPr id="4" name="Gráfico 3">
          <a:extLst>
            <a:ext uri="{FF2B5EF4-FFF2-40B4-BE49-F238E27FC236}">
              <a16:creationId xmlns:a16="http://schemas.microsoft.com/office/drawing/2014/main" id="{7C6E886E-062B-5FC2-014B-0A9C543B9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200025</xdr:colOff>
      <xdr:row>20</xdr:row>
      <xdr:rowOff>133350</xdr:rowOff>
    </xdr:from>
    <xdr:to>
      <xdr:col>17</xdr:col>
      <xdr:colOff>47625</xdr:colOff>
      <xdr:row>33</xdr:row>
      <xdr:rowOff>76200</xdr:rowOff>
    </xdr:to>
    <xdr:sp macro="" textlink="">
      <xdr:nvSpPr>
        <xdr:cNvPr id="6" name="CuadroTexto 5">
          <a:extLst>
            <a:ext uri="{FF2B5EF4-FFF2-40B4-BE49-F238E27FC236}">
              <a16:creationId xmlns:a16="http://schemas.microsoft.com/office/drawing/2014/main" id="{B99A770F-3544-2235-97DC-C21EB2E31867}"/>
            </a:ext>
            <a:ext uri="{147F2762-F138-4A5C-976F-8EAC2B608ADB}">
              <a16:predDERef xmlns:a16="http://schemas.microsoft.com/office/drawing/2014/main" pred="{7C6E886E-062B-5FC2-014B-0A9C543B948E}"/>
            </a:ext>
          </a:extLst>
        </xdr:cNvPr>
        <xdr:cNvSpPr txBox="1"/>
      </xdr:nvSpPr>
      <xdr:spPr>
        <a:xfrm>
          <a:off x="10067925" y="3371850"/>
          <a:ext cx="4114800" cy="2047875"/>
        </a:xfrm>
        <a:prstGeom prst="rect">
          <a:avLst/>
        </a:prstGeom>
        <a:solidFill>
          <a:schemeClr val="lt1"/>
        </a:solidFill>
        <a:ln w="9525" cmpd="sng">
          <a:solidFill>
            <a:srgbClr val="0070BF"/>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El Burndown Chart evidencia el comportamiento del proyecto durante el desarrollo de los tres sprints. La línea de horas reales restantes se mantuvo por encima de la línea de horas estimadas restantes, lo que indica que el tiempo real requerido para completar las actividades fue superior al planificado inicialmente. Esto refleja que las estimaciones de esfuerzo realizadas al inicio del proyecto fueron optimistas y que durante el desarrollo surgieron actividades adicionales, imprevistos o una mayor complejidad en la implementación de los requisitos.</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995"/>
  <sheetViews>
    <sheetView zoomScale="146" zoomScaleNormal="85" workbookViewId="0">
      <selection activeCell="B7" sqref="B7"/>
    </sheetView>
  </sheetViews>
  <sheetFormatPr defaultColWidth="12.5703125" defaultRowHeight="15" customHeight="1"/>
  <cols>
    <col min="1" max="1" width="12.5703125" customWidth="1"/>
    <col min="2" max="2" width="34.85546875" bestFit="1" customWidth="1"/>
    <col min="3" max="3" width="19.7109375" customWidth="1"/>
    <col min="4" max="4" width="65" customWidth="1"/>
    <col min="5" max="5" width="45.5703125" customWidth="1"/>
    <col min="6" max="6" width="12.5703125" customWidth="1"/>
  </cols>
  <sheetData>
    <row r="1" spans="1:9" ht="15.75" customHeight="1">
      <c r="A1" s="44" t="s">
        <v>0</v>
      </c>
      <c r="B1" s="44" t="s">
        <v>1</v>
      </c>
      <c r="C1" s="44" t="s">
        <v>2</v>
      </c>
      <c r="D1" s="44" t="s">
        <v>3</v>
      </c>
      <c r="E1" s="44" t="s">
        <v>4</v>
      </c>
      <c r="F1" s="44" t="s">
        <v>5</v>
      </c>
      <c r="G1" s="44" t="s">
        <v>6</v>
      </c>
      <c r="H1" s="44" t="s">
        <v>7</v>
      </c>
    </row>
    <row r="2" spans="1:9" ht="20.100000000000001" customHeight="1">
      <c r="A2" s="45" t="s">
        <v>8</v>
      </c>
      <c r="B2" s="45" t="s">
        <v>9</v>
      </c>
      <c r="C2" s="45" t="s">
        <v>10</v>
      </c>
      <c r="D2" s="45" t="s">
        <v>11</v>
      </c>
      <c r="E2" s="45" t="s">
        <v>12</v>
      </c>
      <c r="F2" s="47" t="s">
        <v>13</v>
      </c>
      <c r="G2" s="45" t="s">
        <v>14</v>
      </c>
      <c r="H2" s="45" t="s">
        <v>15</v>
      </c>
      <c r="I2" s="1"/>
    </row>
    <row r="3" spans="1:9" ht="20.100000000000001" customHeight="1">
      <c r="A3" s="45" t="s">
        <v>16</v>
      </c>
      <c r="B3" s="45" t="s">
        <v>17</v>
      </c>
      <c r="C3" s="45" t="s">
        <v>10</v>
      </c>
      <c r="D3" s="45" t="s">
        <v>18</v>
      </c>
      <c r="E3" s="45" t="s">
        <v>19</v>
      </c>
      <c r="F3" s="47" t="s">
        <v>13</v>
      </c>
      <c r="G3" s="45" t="s">
        <v>14</v>
      </c>
      <c r="H3" s="45" t="s">
        <v>15</v>
      </c>
      <c r="I3" s="1"/>
    </row>
    <row r="4" spans="1:9" ht="20.100000000000001" customHeight="1">
      <c r="A4" s="45" t="s">
        <v>20</v>
      </c>
      <c r="B4" s="45" t="s">
        <v>21</v>
      </c>
      <c r="C4" s="45" t="s">
        <v>10</v>
      </c>
      <c r="D4" s="45" t="s">
        <v>22</v>
      </c>
      <c r="E4" s="45" t="s">
        <v>23</v>
      </c>
      <c r="F4" s="47"/>
      <c r="G4" s="45" t="s">
        <v>14</v>
      </c>
      <c r="H4" s="45" t="s">
        <v>15</v>
      </c>
      <c r="I4" s="1"/>
    </row>
    <row r="5" spans="1:9" ht="20.100000000000001" customHeight="1">
      <c r="A5" s="45" t="s">
        <v>24</v>
      </c>
      <c r="B5" s="45" t="s">
        <v>25</v>
      </c>
      <c r="C5" s="45" t="s">
        <v>10</v>
      </c>
      <c r="D5" s="45" t="s">
        <v>26</v>
      </c>
      <c r="E5" s="45" t="s">
        <v>27</v>
      </c>
      <c r="F5" s="47" t="s">
        <v>13</v>
      </c>
      <c r="G5" s="45" t="s">
        <v>14</v>
      </c>
      <c r="H5" s="45" t="s">
        <v>15</v>
      </c>
      <c r="I5" s="1"/>
    </row>
    <row r="6" spans="1:9" ht="20.100000000000001" customHeight="1">
      <c r="A6" s="45" t="s">
        <v>28</v>
      </c>
      <c r="B6" s="45" t="s">
        <v>29</v>
      </c>
      <c r="C6" s="45" t="s">
        <v>10</v>
      </c>
      <c r="D6" s="45" t="s">
        <v>30</v>
      </c>
      <c r="E6" s="45" t="s">
        <v>31</v>
      </c>
      <c r="F6" s="47" t="s">
        <v>13</v>
      </c>
      <c r="G6" s="45" t="s">
        <v>14</v>
      </c>
      <c r="H6" s="45" t="s">
        <v>15</v>
      </c>
    </row>
    <row r="7" spans="1:9" ht="20.100000000000001" customHeight="1">
      <c r="A7" s="45" t="s">
        <v>32</v>
      </c>
      <c r="B7" s="45" t="s">
        <v>33</v>
      </c>
      <c r="C7" s="45" t="s">
        <v>10</v>
      </c>
      <c r="D7" s="45" t="s">
        <v>34</v>
      </c>
      <c r="E7" s="45" t="s">
        <v>35</v>
      </c>
      <c r="F7" s="47"/>
      <c r="G7" s="45" t="s">
        <v>14</v>
      </c>
      <c r="H7" s="45" t="s">
        <v>15</v>
      </c>
      <c r="I7" s="1"/>
    </row>
    <row r="8" spans="1:9" ht="20.100000000000001" customHeight="1">
      <c r="A8" s="45" t="s">
        <v>36</v>
      </c>
      <c r="B8" s="45" t="s">
        <v>37</v>
      </c>
      <c r="C8" s="45" t="s">
        <v>10</v>
      </c>
      <c r="D8" s="45" t="s">
        <v>38</v>
      </c>
      <c r="E8" s="45" t="s">
        <v>39</v>
      </c>
      <c r="F8" s="47" t="s">
        <v>13</v>
      </c>
      <c r="G8" s="45" t="s">
        <v>14</v>
      </c>
      <c r="H8" s="45" t="s">
        <v>15</v>
      </c>
    </row>
    <row r="9" spans="1:9" ht="20.100000000000001" customHeight="1">
      <c r="A9" s="45" t="s">
        <v>40</v>
      </c>
      <c r="B9" s="45" t="s">
        <v>41</v>
      </c>
      <c r="C9" s="45" t="s">
        <v>10</v>
      </c>
      <c r="D9" s="45" t="s">
        <v>42</v>
      </c>
      <c r="E9" s="45" t="s">
        <v>43</v>
      </c>
      <c r="F9" s="47" t="s">
        <v>13</v>
      </c>
      <c r="G9" s="45" t="s">
        <v>14</v>
      </c>
      <c r="H9" s="45" t="s">
        <v>15</v>
      </c>
      <c r="I9" s="1"/>
    </row>
    <row r="10" spans="1:9" ht="20.100000000000001" customHeight="1">
      <c r="A10" s="45" t="s">
        <v>44</v>
      </c>
      <c r="B10" s="48" t="s">
        <v>45</v>
      </c>
      <c r="C10" s="48" t="s">
        <v>10</v>
      </c>
      <c r="D10" s="48" t="s">
        <v>46</v>
      </c>
      <c r="E10" s="48" t="s">
        <v>47</v>
      </c>
      <c r="F10" s="49" t="s">
        <v>13</v>
      </c>
      <c r="G10" s="48" t="s">
        <v>14</v>
      </c>
      <c r="H10" s="45" t="s">
        <v>15</v>
      </c>
      <c r="I10" s="1"/>
    </row>
    <row r="11" spans="1:9" ht="20.100000000000001" customHeight="1">
      <c r="A11" s="45" t="s">
        <v>48</v>
      </c>
      <c r="B11" s="48" t="s">
        <v>49</v>
      </c>
      <c r="C11" s="45" t="s">
        <v>10</v>
      </c>
      <c r="D11" s="48" t="s">
        <v>50</v>
      </c>
      <c r="E11" s="48" t="s">
        <v>51</v>
      </c>
      <c r="F11" s="49"/>
      <c r="G11" s="48" t="s">
        <v>14</v>
      </c>
      <c r="H11" s="45" t="s">
        <v>15</v>
      </c>
      <c r="I11" s="1"/>
    </row>
    <row r="12" spans="1:9" ht="15.75" customHeight="1">
      <c r="A12" s="45" t="s">
        <v>52</v>
      </c>
      <c r="B12" s="46" t="s">
        <v>53</v>
      </c>
      <c r="C12" s="45" t="s">
        <v>10</v>
      </c>
      <c r="D12" s="45" t="s">
        <v>54</v>
      </c>
      <c r="E12" s="45" t="s">
        <v>55</v>
      </c>
      <c r="F12" s="47" t="s">
        <v>13</v>
      </c>
      <c r="G12" s="45" t="s">
        <v>14</v>
      </c>
      <c r="H12" s="45" t="s">
        <v>15</v>
      </c>
      <c r="I12" s="1"/>
    </row>
    <row r="13" spans="1:9" ht="15.75" customHeight="1">
      <c r="A13" s="45" t="s">
        <v>56</v>
      </c>
      <c r="B13" s="45" t="s">
        <v>57</v>
      </c>
      <c r="C13" s="45" t="s">
        <v>10</v>
      </c>
      <c r="D13" s="45" t="s">
        <v>58</v>
      </c>
      <c r="E13" s="45" t="s">
        <v>59</v>
      </c>
      <c r="F13" s="47" t="s">
        <v>13</v>
      </c>
      <c r="G13" s="45" t="s">
        <v>14</v>
      </c>
      <c r="H13" s="45" t="s">
        <v>15</v>
      </c>
    </row>
    <row r="14" spans="1:9" ht="15.75" customHeight="1">
      <c r="A14" s="45" t="s">
        <v>60</v>
      </c>
      <c r="B14" s="45" t="s">
        <v>61</v>
      </c>
      <c r="C14" s="45" t="s">
        <v>10</v>
      </c>
      <c r="D14" s="45" t="s">
        <v>62</v>
      </c>
      <c r="E14" s="45" t="s">
        <v>63</v>
      </c>
      <c r="F14" s="47" t="s">
        <v>13</v>
      </c>
      <c r="G14" s="45" t="s">
        <v>14</v>
      </c>
      <c r="H14" s="45" t="s">
        <v>15</v>
      </c>
    </row>
    <row r="15" spans="1:9" ht="15.75" customHeight="1"/>
    <row r="16" spans="1:9"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25D33-6ECB-4CC2-A090-B89BF97B7A9B}">
  <sheetPr>
    <outlinePr summaryBelow="0" summaryRight="0"/>
  </sheetPr>
  <dimension ref="A1:J958"/>
  <sheetViews>
    <sheetView tabSelected="1" topLeftCell="A77" zoomScaleNormal="90" workbookViewId="0">
      <selection activeCell="B83" sqref="B83"/>
    </sheetView>
  </sheetViews>
  <sheetFormatPr defaultColWidth="12.5703125" defaultRowHeight="15" customHeight="1"/>
  <cols>
    <col min="1" max="1" width="12.5703125" style="2" customWidth="1"/>
    <col min="2" max="2" width="41.42578125" style="2" customWidth="1"/>
    <col min="3" max="3" width="69.42578125" style="2" customWidth="1"/>
    <col min="4" max="4" width="28.5703125" style="2" customWidth="1"/>
    <col min="5" max="5" width="53.5703125" style="2" customWidth="1"/>
    <col min="6" max="6" width="56.140625" style="2" customWidth="1"/>
    <col min="7" max="7" width="29" style="2" bestFit="1" customWidth="1"/>
    <col min="8" max="16384" width="12.5703125" style="2"/>
  </cols>
  <sheetData>
    <row r="1" spans="1:10" ht="23.25" customHeight="1"/>
    <row r="2" spans="1:10" ht="32.25" customHeight="1">
      <c r="A2" s="16" t="s">
        <v>64</v>
      </c>
      <c r="B2" s="92" t="s">
        <v>65</v>
      </c>
      <c r="C2" s="93"/>
      <c r="D2" s="93"/>
      <c r="E2" s="93"/>
      <c r="F2" s="93"/>
      <c r="G2" s="93"/>
      <c r="H2" s="93"/>
      <c r="I2" s="94"/>
    </row>
    <row r="3" spans="1:10" ht="15.75" customHeight="1">
      <c r="B3" s="17" t="s">
        <v>0</v>
      </c>
      <c r="C3" s="17" t="s">
        <v>1</v>
      </c>
      <c r="D3" s="17" t="s">
        <v>2</v>
      </c>
      <c r="E3" s="17" t="s">
        <v>66</v>
      </c>
      <c r="F3" s="17" t="s">
        <v>67</v>
      </c>
      <c r="G3" s="17" t="s">
        <v>5</v>
      </c>
      <c r="H3" s="17" t="s">
        <v>68</v>
      </c>
      <c r="I3" s="17" t="s">
        <v>69</v>
      </c>
    </row>
    <row r="4" spans="1:10" ht="35.25" customHeight="1">
      <c r="B4" s="18" t="s">
        <v>8</v>
      </c>
      <c r="C4" s="18" t="s">
        <v>70</v>
      </c>
      <c r="D4" s="18" t="s">
        <v>71</v>
      </c>
      <c r="E4" s="19" t="s">
        <v>72</v>
      </c>
      <c r="F4" s="25" t="s">
        <v>73</v>
      </c>
      <c r="G4" s="18" t="s">
        <v>74</v>
      </c>
      <c r="H4" s="18" t="s">
        <v>14</v>
      </c>
      <c r="I4" s="18" t="s">
        <v>15</v>
      </c>
    </row>
    <row r="5" spans="1:10" ht="15.75" customHeight="1">
      <c r="B5" s="20"/>
      <c r="C5" s="21" t="s">
        <v>75</v>
      </c>
      <c r="D5" s="20"/>
      <c r="E5" s="20"/>
      <c r="F5" s="20"/>
      <c r="G5" s="21" t="s">
        <v>76</v>
      </c>
      <c r="H5" s="20"/>
      <c r="I5" s="21" t="s">
        <v>77</v>
      </c>
    </row>
    <row r="6" spans="1:10" ht="15.75" customHeight="1">
      <c r="B6" s="22" t="s">
        <v>78</v>
      </c>
      <c r="C6" s="100" t="s">
        <v>79</v>
      </c>
      <c r="D6" s="101"/>
      <c r="E6" s="101"/>
      <c r="F6" s="101"/>
      <c r="G6" s="20" t="s">
        <v>80</v>
      </c>
      <c r="H6" s="20"/>
      <c r="I6" s="23">
        <v>1</v>
      </c>
      <c r="J6" s="2">
        <f>SUM(I6:I10)</f>
        <v>11.5</v>
      </c>
    </row>
    <row r="7" spans="1:10" ht="15.75" customHeight="1">
      <c r="B7" s="22" t="s">
        <v>81</v>
      </c>
      <c r="C7" s="100" t="s">
        <v>82</v>
      </c>
      <c r="D7" s="101"/>
      <c r="E7" s="101"/>
      <c r="F7" s="101"/>
      <c r="G7" s="20" t="s">
        <v>80</v>
      </c>
      <c r="H7" s="20"/>
      <c r="I7" s="23">
        <v>3</v>
      </c>
    </row>
    <row r="8" spans="1:10" ht="15.75" customHeight="1">
      <c r="B8" s="22" t="s">
        <v>83</v>
      </c>
      <c r="C8" s="100" t="s">
        <v>84</v>
      </c>
      <c r="D8" s="101"/>
      <c r="E8" s="101"/>
      <c r="F8" s="101"/>
      <c r="G8" s="20" t="s">
        <v>80</v>
      </c>
      <c r="H8" s="20"/>
      <c r="I8" s="23">
        <v>4</v>
      </c>
    </row>
    <row r="9" spans="1:10" ht="15.75" customHeight="1">
      <c r="B9" s="24" t="s">
        <v>85</v>
      </c>
      <c r="C9" s="91" t="s">
        <v>86</v>
      </c>
      <c r="D9" s="91"/>
      <c r="E9" s="91"/>
      <c r="F9" s="91"/>
      <c r="G9" s="20" t="s">
        <v>80</v>
      </c>
      <c r="H9" s="17"/>
      <c r="I9" s="23">
        <v>3</v>
      </c>
    </row>
    <row r="10" spans="1:10" ht="15.75" customHeight="1">
      <c r="B10" s="24" t="s">
        <v>87</v>
      </c>
      <c r="C10" s="91" t="s">
        <v>88</v>
      </c>
      <c r="D10" s="91"/>
      <c r="E10" s="91"/>
      <c r="F10" s="91"/>
      <c r="G10" s="20" t="s">
        <v>80</v>
      </c>
      <c r="H10" s="17"/>
      <c r="I10" s="23">
        <v>0.5</v>
      </c>
    </row>
    <row r="11" spans="1:10" ht="27" customHeight="1">
      <c r="B11" s="18" t="s">
        <v>16</v>
      </c>
      <c r="C11" s="18" t="s">
        <v>17</v>
      </c>
      <c r="D11" s="18" t="s">
        <v>71</v>
      </c>
      <c r="E11" s="19" t="s">
        <v>89</v>
      </c>
      <c r="F11" s="25" t="s">
        <v>19</v>
      </c>
      <c r="G11" s="18" t="s">
        <v>74</v>
      </c>
      <c r="H11" s="18" t="s">
        <v>14</v>
      </c>
      <c r="I11" s="18" t="s">
        <v>15</v>
      </c>
    </row>
    <row r="12" spans="1:10" ht="15.75" customHeight="1">
      <c r="B12" s="24"/>
      <c r="C12" s="21" t="s">
        <v>75</v>
      </c>
      <c r="D12" s="62"/>
      <c r="E12" s="62"/>
      <c r="F12" s="62"/>
      <c r="G12" s="21" t="s">
        <v>76</v>
      </c>
      <c r="H12" s="17"/>
      <c r="I12" s="23"/>
      <c r="J12" s="2">
        <f>SUM(I12:I16)</f>
        <v>11</v>
      </c>
    </row>
    <row r="13" spans="1:10" ht="15.75" customHeight="1">
      <c r="B13" s="22" t="s">
        <v>90</v>
      </c>
      <c r="C13" s="100" t="s">
        <v>91</v>
      </c>
      <c r="D13" s="101"/>
      <c r="E13" s="101"/>
      <c r="F13" s="101"/>
      <c r="G13" s="20" t="s">
        <v>92</v>
      </c>
      <c r="H13" s="17"/>
      <c r="I13" s="23">
        <v>1.5</v>
      </c>
    </row>
    <row r="14" spans="1:10" ht="15.75" customHeight="1">
      <c r="B14" s="22" t="s">
        <v>93</v>
      </c>
      <c r="C14" s="100" t="s">
        <v>94</v>
      </c>
      <c r="D14" s="101"/>
      <c r="E14" s="101"/>
      <c r="F14" s="101"/>
      <c r="G14" s="20" t="s">
        <v>92</v>
      </c>
      <c r="H14" s="17"/>
      <c r="I14" s="23">
        <v>4</v>
      </c>
    </row>
    <row r="15" spans="1:10" ht="15" customHeight="1">
      <c r="B15" s="22" t="s">
        <v>95</v>
      </c>
      <c r="C15" s="100" t="s">
        <v>96</v>
      </c>
      <c r="D15" s="101"/>
      <c r="E15" s="101"/>
      <c r="F15" s="101"/>
      <c r="G15" s="20" t="s">
        <v>92</v>
      </c>
      <c r="H15" s="17"/>
      <c r="I15" s="23">
        <v>3</v>
      </c>
    </row>
    <row r="16" spans="1:10" ht="14.25" customHeight="1">
      <c r="B16" s="22" t="s">
        <v>97</v>
      </c>
      <c r="C16" s="100" t="s">
        <v>98</v>
      </c>
      <c r="D16" s="101"/>
      <c r="E16" s="101"/>
      <c r="F16" s="101"/>
      <c r="G16" s="20" t="s">
        <v>92</v>
      </c>
      <c r="H16" s="17"/>
      <c r="I16" s="23">
        <v>2.5</v>
      </c>
    </row>
    <row r="17" spans="2:10" ht="23.25" customHeight="1">
      <c r="B17" s="18" t="s">
        <v>20</v>
      </c>
      <c r="C17" s="18" t="s">
        <v>99</v>
      </c>
      <c r="D17" s="18" t="s">
        <v>71</v>
      </c>
      <c r="E17" s="19" t="s">
        <v>22</v>
      </c>
      <c r="F17" s="25" t="s">
        <v>23</v>
      </c>
      <c r="G17" s="18" t="s">
        <v>74</v>
      </c>
      <c r="H17" s="18" t="s">
        <v>14</v>
      </c>
      <c r="I17" s="18" t="s">
        <v>15</v>
      </c>
    </row>
    <row r="18" spans="2:10" ht="15.75" customHeight="1">
      <c r="B18" s="20"/>
      <c r="C18" s="21" t="s">
        <v>75</v>
      </c>
      <c r="D18" s="20"/>
      <c r="E18" s="20"/>
      <c r="F18" s="20"/>
      <c r="G18" s="21" t="s">
        <v>76</v>
      </c>
      <c r="H18" s="20"/>
      <c r="I18" s="21" t="s">
        <v>77</v>
      </c>
      <c r="J18" s="2">
        <f>SUM(I18:I22)</f>
        <v>11</v>
      </c>
    </row>
    <row r="19" spans="2:10" ht="15.75" customHeight="1">
      <c r="B19" s="22" t="s">
        <v>100</v>
      </c>
      <c r="C19" s="100" t="s">
        <v>101</v>
      </c>
      <c r="D19" s="101"/>
      <c r="E19" s="101"/>
      <c r="F19" s="101"/>
      <c r="G19" s="20" t="s">
        <v>92</v>
      </c>
      <c r="H19" s="23"/>
      <c r="I19" s="23">
        <v>1.5</v>
      </c>
    </row>
    <row r="20" spans="2:10" ht="15.75" customHeight="1">
      <c r="B20" s="22" t="s">
        <v>102</v>
      </c>
      <c r="C20" s="100" t="s">
        <v>103</v>
      </c>
      <c r="D20" s="101"/>
      <c r="E20" s="101"/>
      <c r="F20" s="101"/>
      <c r="G20" s="20" t="s">
        <v>92</v>
      </c>
      <c r="H20" s="23"/>
      <c r="I20" s="23">
        <v>4</v>
      </c>
    </row>
    <row r="21" spans="2:10" ht="15.75" customHeight="1">
      <c r="B21" s="22" t="s">
        <v>104</v>
      </c>
      <c r="C21" s="100" t="s">
        <v>105</v>
      </c>
      <c r="D21" s="101"/>
      <c r="E21" s="101"/>
      <c r="F21" s="101"/>
      <c r="G21" s="20" t="s">
        <v>92</v>
      </c>
      <c r="H21" s="23"/>
      <c r="I21" s="23">
        <v>3</v>
      </c>
    </row>
    <row r="22" spans="2:10" ht="18" customHeight="1">
      <c r="B22" s="22" t="s">
        <v>106</v>
      </c>
      <c r="C22" s="100" t="s">
        <v>107</v>
      </c>
      <c r="D22" s="101"/>
      <c r="E22" s="101"/>
      <c r="F22" s="101"/>
      <c r="G22" s="20" t="s">
        <v>92</v>
      </c>
      <c r="H22" s="23"/>
      <c r="I22" s="23">
        <v>2.5</v>
      </c>
    </row>
    <row r="23" spans="2:10" ht="30" customHeight="1">
      <c r="B23" s="18" t="s">
        <v>24</v>
      </c>
      <c r="C23" s="18" t="s">
        <v>108</v>
      </c>
      <c r="D23" s="18" t="s">
        <v>71</v>
      </c>
      <c r="E23" s="19" t="s">
        <v>109</v>
      </c>
      <c r="F23" s="18" t="s">
        <v>27</v>
      </c>
      <c r="G23" s="18" t="s">
        <v>74</v>
      </c>
      <c r="H23" s="18" t="s">
        <v>14</v>
      </c>
      <c r="I23" s="18" t="s">
        <v>15</v>
      </c>
    </row>
    <row r="24" spans="2:10" ht="15.75" customHeight="1">
      <c r="B24" s="23"/>
      <c r="C24" s="26" t="s">
        <v>75</v>
      </c>
      <c r="D24" s="23"/>
      <c r="E24" s="23"/>
      <c r="F24" s="23"/>
      <c r="G24" s="21" t="s">
        <v>76</v>
      </c>
      <c r="H24" s="23"/>
      <c r="I24" s="21" t="s">
        <v>77</v>
      </c>
      <c r="J24" s="2">
        <f>SUM(I24:I28)</f>
        <v>9</v>
      </c>
    </row>
    <row r="25" spans="2:10" ht="15.75" customHeight="1">
      <c r="B25" s="22" t="s">
        <v>110</v>
      </c>
      <c r="C25" s="100" t="s">
        <v>111</v>
      </c>
      <c r="D25" s="101"/>
      <c r="E25" s="101"/>
      <c r="F25" s="101"/>
      <c r="G25" s="20" t="s">
        <v>112</v>
      </c>
      <c r="H25" s="23"/>
      <c r="I25" s="23">
        <v>3.5</v>
      </c>
    </row>
    <row r="26" spans="2:10" ht="15.75" customHeight="1">
      <c r="B26" s="22" t="s">
        <v>113</v>
      </c>
      <c r="C26" s="100" t="s">
        <v>114</v>
      </c>
      <c r="D26" s="101"/>
      <c r="E26" s="101"/>
      <c r="F26" s="101"/>
      <c r="G26" s="20" t="s">
        <v>112</v>
      </c>
      <c r="H26" s="23"/>
      <c r="I26" s="23">
        <v>2</v>
      </c>
    </row>
    <row r="27" spans="2:10" ht="15.75" customHeight="1">
      <c r="B27" s="22" t="s">
        <v>115</v>
      </c>
      <c r="C27" s="100" t="s">
        <v>116</v>
      </c>
      <c r="D27" s="101"/>
      <c r="E27" s="101"/>
      <c r="F27" s="101"/>
      <c r="G27" s="20" t="s">
        <v>112</v>
      </c>
      <c r="H27" s="23"/>
      <c r="I27" s="23">
        <v>2</v>
      </c>
    </row>
    <row r="28" spans="2:10" ht="14.25" customHeight="1">
      <c r="B28" s="22" t="s">
        <v>117</v>
      </c>
      <c r="C28" s="100" t="s">
        <v>118</v>
      </c>
      <c r="D28" s="101"/>
      <c r="E28" s="101"/>
      <c r="F28" s="101"/>
      <c r="G28" s="20" t="s">
        <v>112</v>
      </c>
      <c r="H28" s="23"/>
      <c r="I28" s="23">
        <v>1.5</v>
      </c>
    </row>
    <row r="29" spans="2:10" ht="30" customHeight="1">
      <c r="B29" s="18" t="s">
        <v>28</v>
      </c>
      <c r="C29" s="18" t="s">
        <v>29</v>
      </c>
      <c r="D29" s="18" t="s">
        <v>71</v>
      </c>
      <c r="E29" s="19" t="s">
        <v>119</v>
      </c>
      <c r="F29" s="25" t="s">
        <v>120</v>
      </c>
      <c r="G29" s="18" t="s">
        <v>74</v>
      </c>
      <c r="H29" s="18" t="s">
        <v>14</v>
      </c>
      <c r="I29" s="18" t="s">
        <v>15</v>
      </c>
    </row>
    <row r="30" spans="2:10" ht="15.75" customHeight="1">
      <c r="B30" s="23"/>
      <c r="C30" s="23" t="s">
        <v>75</v>
      </c>
      <c r="D30" s="23"/>
      <c r="E30" s="23"/>
      <c r="F30" s="23"/>
      <c r="G30" s="21" t="s">
        <v>76</v>
      </c>
      <c r="H30" s="23"/>
      <c r="I30" s="21" t="s">
        <v>77</v>
      </c>
      <c r="J30" s="2">
        <f>SUM(I30:I34)</f>
        <v>5.5</v>
      </c>
    </row>
    <row r="31" spans="2:10" ht="15.75" customHeight="1">
      <c r="B31" s="22" t="s">
        <v>121</v>
      </c>
      <c r="C31" s="100" t="s">
        <v>122</v>
      </c>
      <c r="D31" s="101"/>
      <c r="E31" s="101"/>
      <c r="F31" s="101"/>
      <c r="G31" s="20" t="s">
        <v>112</v>
      </c>
      <c r="H31" s="23"/>
      <c r="I31" s="23">
        <v>1</v>
      </c>
    </row>
    <row r="32" spans="2:10" ht="15.75" customHeight="1">
      <c r="B32" s="22" t="s">
        <v>123</v>
      </c>
      <c r="C32" s="100" t="s">
        <v>124</v>
      </c>
      <c r="D32" s="101"/>
      <c r="E32" s="101"/>
      <c r="F32" s="101"/>
      <c r="G32" s="20" t="s">
        <v>112</v>
      </c>
      <c r="H32" s="23"/>
      <c r="I32" s="23">
        <v>1.5</v>
      </c>
    </row>
    <row r="33" spans="1:10" ht="20.25" customHeight="1">
      <c r="B33" s="22" t="s">
        <v>125</v>
      </c>
      <c r="C33" s="100" t="s">
        <v>126</v>
      </c>
      <c r="D33" s="101"/>
      <c r="E33" s="101"/>
      <c r="F33" s="101"/>
      <c r="G33" s="20" t="s">
        <v>112</v>
      </c>
      <c r="H33" s="23"/>
      <c r="I33" s="23">
        <v>1</v>
      </c>
    </row>
    <row r="34" spans="1:10" ht="18.75" customHeight="1">
      <c r="B34" s="22" t="s">
        <v>127</v>
      </c>
      <c r="C34" s="100" t="s">
        <v>128</v>
      </c>
      <c r="D34" s="101"/>
      <c r="E34" s="101"/>
      <c r="F34" s="101"/>
      <c r="G34" s="28" t="s">
        <v>112</v>
      </c>
      <c r="H34" s="27"/>
      <c r="I34" s="27">
        <v>2</v>
      </c>
    </row>
    <row r="35" spans="1:10" ht="18" customHeight="1">
      <c r="A35" s="29" t="s">
        <v>129</v>
      </c>
      <c r="B35" s="95" t="s">
        <v>130</v>
      </c>
      <c r="C35" s="95"/>
      <c r="D35" s="95"/>
      <c r="E35" s="95"/>
      <c r="F35" s="95"/>
      <c r="G35" s="95"/>
      <c r="H35" s="95"/>
      <c r="I35" s="95"/>
    </row>
    <row r="36" spans="1:10" ht="33.75" customHeight="1">
      <c r="B36" s="30" t="s">
        <v>32</v>
      </c>
      <c r="C36" s="30" t="s">
        <v>33</v>
      </c>
      <c r="D36" s="30" t="s">
        <v>71</v>
      </c>
      <c r="E36" s="31" t="s">
        <v>34</v>
      </c>
      <c r="F36" s="32" t="s">
        <v>35</v>
      </c>
      <c r="G36" s="30" t="s">
        <v>74</v>
      </c>
      <c r="H36" s="30" t="s">
        <v>14</v>
      </c>
      <c r="I36" s="18" t="s">
        <v>15</v>
      </c>
    </row>
    <row r="37" spans="1:10" ht="24" customHeight="1">
      <c r="B37" s="33"/>
      <c r="C37" s="33" t="s">
        <v>131</v>
      </c>
      <c r="D37" s="33"/>
      <c r="E37" s="33"/>
      <c r="F37" s="33"/>
      <c r="G37" s="21" t="s">
        <v>76</v>
      </c>
      <c r="H37" s="33"/>
      <c r="I37" s="33"/>
      <c r="J37" s="2">
        <f>SUM(I37:I41)</f>
        <v>5</v>
      </c>
    </row>
    <row r="38" spans="1:10" ht="15.75" customHeight="1">
      <c r="B38" s="34" t="s">
        <v>132</v>
      </c>
      <c r="C38" s="100" t="s">
        <v>133</v>
      </c>
      <c r="D38" s="101"/>
      <c r="E38" s="101"/>
      <c r="F38" s="101"/>
      <c r="G38" s="33" t="s">
        <v>80</v>
      </c>
      <c r="H38" s="33"/>
      <c r="I38" s="33">
        <v>1</v>
      </c>
    </row>
    <row r="39" spans="1:10" ht="15.75" customHeight="1">
      <c r="B39" s="34" t="s">
        <v>134</v>
      </c>
      <c r="C39" s="100" t="s">
        <v>135</v>
      </c>
      <c r="D39" s="101"/>
      <c r="E39" s="101"/>
      <c r="F39" s="101"/>
      <c r="G39" s="33" t="s">
        <v>80</v>
      </c>
      <c r="H39" s="33"/>
      <c r="I39" s="33">
        <v>2</v>
      </c>
    </row>
    <row r="40" spans="1:10" ht="15.6" customHeight="1">
      <c r="B40" s="34" t="s">
        <v>136</v>
      </c>
      <c r="C40" s="100" t="s">
        <v>137</v>
      </c>
      <c r="D40" s="101"/>
      <c r="E40" s="101"/>
      <c r="F40" s="101"/>
      <c r="G40" s="33" t="s">
        <v>80</v>
      </c>
      <c r="H40" s="33"/>
      <c r="I40" s="33">
        <v>2</v>
      </c>
    </row>
    <row r="41" spans="1:10" ht="15.75" customHeight="1">
      <c r="B41" s="35" t="s">
        <v>36</v>
      </c>
      <c r="C41" s="35" t="s">
        <v>37</v>
      </c>
      <c r="D41" s="35" t="s">
        <v>71</v>
      </c>
      <c r="E41" s="36" t="s">
        <v>38</v>
      </c>
      <c r="F41" s="37" t="s">
        <v>39</v>
      </c>
      <c r="G41" s="35" t="s">
        <v>74</v>
      </c>
      <c r="H41" s="35" t="s">
        <v>14</v>
      </c>
      <c r="I41" s="30" t="s">
        <v>15</v>
      </c>
    </row>
    <row r="42" spans="1:10" ht="26.45" customHeight="1">
      <c r="B42" s="33"/>
      <c r="C42" s="40" t="s">
        <v>131</v>
      </c>
      <c r="D42" s="33"/>
      <c r="E42" s="33"/>
      <c r="F42" s="33"/>
      <c r="G42" s="21" t="s">
        <v>76</v>
      </c>
      <c r="H42" s="33"/>
      <c r="I42" s="33"/>
      <c r="J42" s="2">
        <f>SUM(I42:I46)</f>
        <v>5</v>
      </c>
    </row>
    <row r="43" spans="1:10" ht="19.5" customHeight="1">
      <c r="B43" s="34" t="s">
        <v>138</v>
      </c>
      <c r="C43" s="100" t="s">
        <v>139</v>
      </c>
      <c r="D43" s="101"/>
      <c r="E43" s="101"/>
      <c r="F43" s="101"/>
      <c r="G43" s="39" t="s">
        <v>112</v>
      </c>
      <c r="H43" s="33"/>
      <c r="I43" s="33">
        <v>1</v>
      </c>
    </row>
    <row r="44" spans="1:10" ht="19.5" customHeight="1">
      <c r="B44" s="34" t="s">
        <v>140</v>
      </c>
      <c r="C44" s="100" t="s">
        <v>141</v>
      </c>
      <c r="D44" s="101"/>
      <c r="E44" s="101"/>
      <c r="F44" s="101"/>
      <c r="G44" s="39" t="s">
        <v>112</v>
      </c>
      <c r="H44" s="33"/>
      <c r="I44" s="33">
        <v>2</v>
      </c>
    </row>
    <row r="45" spans="1:10" ht="18" customHeight="1">
      <c r="B45" s="34" t="s">
        <v>142</v>
      </c>
      <c r="C45" s="100" t="s">
        <v>143</v>
      </c>
      <c r="D45" s="101"/>
      <c r="E45" s="101"/>
      <c r="F45" s="101"/>
      <c r="G45" s="39" t="s">
        <v>112</v>
      </c>
      <c r="H45" s="33"/>
      <c r="I45" s="33">
        <v>1</v>
      </c>
    </row>
    <row r="46" spans="1:10" ht="23.25" customHeight="1">
      <c r="B46" s="34" t="s">
        <v>144</v>
      </c>
      <c r="C46" s="100" t="s">
        <v>145</v>
      </c>
      <c r="D46" s="101"/>
      <c r="E46" s="101"/>
      <c r="F46" s="101"/>
      <c r="G46" s="39" t="s">
        <v>112</v>
      </c>
      <c r="H46" s="33"/>
      <c r="I46" s="33">
        <v>1</v>
      </c>
    </row>
    <row r="47" spans="1:10" ht="30" customHeight="1">
      <c r="B47" s="35" t="s">
        <v>40</v>
      </c>
      <c r="C47" s="35" t="s">
        <v>41</v>
      </c>
      <c r="D47" s="35" t="s">
        <v>71</v>
      </c>
      <c r="E47" s="36" t="s">
        <v>42</v>
      </c>
      <c r="F47" s="37" t="s">
        <v>43</v>
      </c>
      <c r="G47" s="35" t="s">
        <v>74</v>
      </c>
      <c r="H47" s="35" t="s">
        <v>14</v>
      </c>
      <c r="I47" s="30" t="s">
        <v>15</v>
      </c>
    </row>
    <row r="48" spans="1:10" ht="16.899999999999999" customHeight="1">
      <c r="B48" s="33"/>
      <c r="C48" s="38" t="s">
        <v>75</v>
      </c>
      <c r="D48" s="33"/>
      <c r="E48" s="33"/>
      <c r="F48" s="33"/>
      <c r="G48" s="38" t="s">
        <v>76</v>
      </c>
      <c r="H48" s="33"/>
      <c r="I48" s="38" t="s">
        <v>77</v>
      </c>
      <c r="J48" s="2">
        <f>SUM(I49:I59)</f>
        <v>9.5</v>
      </c>
    </row>
    <row r="49" spans="2:10" ht="15.75" customHeight="1">
      <c r="B49" s="41" t="s">
        <v>146</v>
      </c>
      <c r="C49" s="100" t="s">
        <v>147</v>
      </c>
      <c r="D49" s="101"/>
      <c r="E49" s="101"/>
      <c r="F49" s="101"/>
      <c r="G49" s="39" t="s">
        <v>92</v>
      </c>
      <c r="H49" s="33"/>
      <c r="I49" s="33">
        <v>3</v>
      </c>
    </row>
    <row r="50" spans="2:10" ht="15.75" customHeight="1">
      <c r="B50" s="41" t="s">
        <v>148</v>
      </c>
      <c r="C50" s="100" t="s">
        <v>149</v>
      </c>
      <c r="D50" s="101"/>
      <c r="E50" s="101"/>
      <c r="F50" s="101"/>
      <c r="G50" s="39" t="s">
        <v>92</v>
      </c>
      <c r="H50" s="33"/>
      <c r="I50" s="33">
        <v>2</v>
      </c>
    </row>
    <row r="51" spans="2:10" ht="22.9" customHeight="1">
      <c r="B51" s="41" t="s">
        <v>150</v>
      </c>
      <c r="C51" s="100" t="s">
        <v>151</v>
      </c>
      <c r="D51" s="101"/>
      <c r="E51" s="101"/>
      <c r="F51" s="101"/>
      <c r="G51" s="39" t="s">
        <v>92</v>
      </c>
      <c r="H51" s="33"/>
      <c r="I51" s="33">
        <v>1.5</v>
      </c>
    </row>
    <row r="52" spans="2:10" ht="23.1" customHeight="1">
      <c r="B52" s="41" t="s">
        <v>152</v>
      </c>
      <c r="C52" s="100" t="s">
        <v>153</v>
      </c>
      <c r="D52" s="101"/>
      <c r="E52" s="101"/>
      <c r="F52" s="101"/>
      <c r="G52" s="39" t="s">
        <v>92</v>
      </c>
      <c r="H52" s="33"/>
      <c r="I52" s="33">
        <v>2.5</v>
      </c>
    </row>
    <row r="53" spans="2:10" ht="15.75" hidden="1" customHeight="1">
      <c r="B53" s="41"/>
      <c r="C53" s="42"/>
      <c r="D53" s="43"/>
      <c r="E53" s="43"/>
      <c r="F53" s="43"/>
      <c r="G53" s="39"/>
      <c r="H53" s="33"/>
      <c r="I53" s="33"/>
    </row>
    <row r="54" spans="2:10" ht="15.75" hidden="1" customHeight="1">
      <c r="B54" s="41"/>
      <c r="C54" s="42"/>
      <c r="D54" s="43"/>
      <c r="E54" s="43"/>
      <c r="F54" s="43"/>
      <c r="G54" s="39"/>
      <c r="H54" s="33"/>
      <c r="I54" s="33"/>
    </row>
    <row r="55" spans="2:10" ht="15.75" hidden="1" customHeight="1">
      <c r="B55" s="41"/>
      <c r="C55" s="42"/>
      <c r="D55" s="43"/>
      <c r="E55" s="43"/>
      <c r="F55" s="43"/>
      <c r="G55" s="39"/>
      <c r="H55" s="33"/>
      <c r="I55" s="33"/>
    </row>
    <row r="56" spans="2:10" ht="26.1" hidden="1" customHeight="1">
      <c r="B56" s="41"/>
      <c r="C56" s="42"/>
      <c r="D56" s="43"/>
      <c r="E56" s="43"/>
      <c r="F56" s="43"/>
      <c r="G56" s="39"/>
      <c r="H56" s="33"/>
      <c r="I56" s="33"/>
    </row>
    <row r="57" spans="2:10" ht="16.5" hidden="1" customHeight="1">
      <c r="B57" s="41"/>
      <c r="C57" s="42"/>
      <c r="D57" s="43"/>
      <c r="E57" s="43"/>
      <c r="F57" s="43"/>
      <c r="G57" s="39"/>
      <c r="H57" s="33"/>
      <c r="I57" s="33"/>
    </row>
    <row r="58" spans="2:10" ht="16.5" hidden="1" customHeight="1">
      <c r="B58" s="41"/>
      <c r="C58" s="42"/>
      <c r="D58" s="43"/>
      <c r="E58" s="43"/>
      <c r="F58" s="43"/>
      <c r="G58" s="39"/>
      <c r="H58" s="33"/>
      <c r="I58" s="33"/>
    </row>
    <row r="59" spans="2:10" ht="20.25" customHeight="1">
      <c r="B59" s="41" t="s">
        <v>154</v>
      </c>
      <c r="C59" s="42" t="s">
        <v>155</v>
      </c>
      <c r="D59" s="43"/>
      <c r="E59" s="43"/>
      <c r="F59" s="43"/>
      <c r="G59" s="39" t="s">
        <v>92</v>
      </c>
      <c r="H59" s="33"/>
      <c r="I59" s="33">
        <v>0.5</v>
      </c>
    </row>
    <row r="60" spans="2:10" ht="24.75" customHeight="1">
      <c r="B60" s="35" t="s">
        <v>44</v>
      </c>
      <c r="C60" s="55" t="s">
        <v>45</v>
      </c>
      <c r="D60" s="55" t="s">
        <v>71</v>
      </c>
      <c r="E60" s="56" t="s">
        <v>46</v>
      </c>
      <c r="F60" s="57" t="s">
        <v>47</v>
      </c>
      <c r="G60" s="55" t="s">
        <v>74</v>
      </c>
      <c r="H60" s="55" t="s">
        <v>14</v>
      </c>
      <c r="I60" s="30" t="s">
        <v>15</v>
      </c>
    </row>
    <row r="61" spans="2:10" ht="15.75" customHeight="1">
      <c r="B61" s="39"/>
      <c r="C61" s="38" t="s">
        <v>75</v>
      </c>
      <c r="D61" s="58"/>
      <c r="E61" s="58"/>
      <c r="F61" s="58"/>
      <c r="G61" s="59" t="s">
        <v>76</v>
      </c>
      <c r="H61" s="58"/>
      <c r="I61" s="59" t="s">
        <v>77</v>
      </c>
      <c r="J61" s="2">
        <f>SUM(I61:I65)</f>
        <v>7</v>
      </c>
    </row>
    <row r="62" spans="2:10" ht="15.75" customHeight="1">
      <c r="B62" s="34" t="s">
        <v>156</v>
      </c>
      <c r="C62" s="100" t="s">
        <v>157</v>
      </c>
      <c r="D62" s="101"/>
      <c r="E62" s="101"/>
      <c r="F62" s="101"/>
      <c r="G62" s="60" t="s">
        <v>158</v>
      </c>
      <c r="H62" s="58"/>
      <c r="I62" s="58">
        <v>2</v>
      </c>
    </row>
    <row r="63" spans="2:10" ht="15.75" customHeight="1">
      <c r="B63" s="34" t="s">
        <v>159</v>
      </c>
      <c r="C63" s="100" t="s">
        <v>160</v>
      </c>
      <c r="D63" s="101"/>
      <c r="E63" s="101"/>
      <c r="F63" s="101"/>
      <c r="G63" s="60" t="s">
        <v>158</v>
      </c>
      <c r="H63" s="58"/>
      <c r="I63" s="58">
        <v>2</v>
      </c>
    </row>
    <row r="64" spans="2:10" ht="15.75" customHeight="1">
      <c r="B64" s="34" t="s">
        <v>161</v>
      </c>
      <c r="C64" s="100" t="s">
        <v>162</v>
      </c>
      <c r="D64" s="101"/>
      <c r="E64" s="101"/>
      <c r="F64" s="101"/>
      <c r="G64" s="60" t="s">
        <v>158</v>
      </c>
      <c r="H64" s="58"/>
      <c r="I64" s="58">
        <v>3</v>
      </c>
    </row>
    <row r="65" spans="1:10" ht="15.75" customHeight="1">
      <c r="A65" s="29" t="s">
        <v>163</v>
      </c>
      <c r="B65" s="95" t="s">
        <v>164</v>
      </c>
      <c r="C65" s="95"/>
      <c r="D65" s="95"/>
      <c r="E65" s="95"/>
      <c r="F65" s="95"/>
      <c r="G65" s="95"/>
      <c r="H65" s="95"/>
      <c r="I65" s="95"/>
    </row>
    <row r="66" spans="1:10" ht="30.75" customHeight="1">
      <c r="B66" s="35" t="s">
        <v>48</v>
      </c>
      <c r="C66" s="63" t="s">
        <v>49</v>
      </c>
      <c r="D66" s="35" t="s">
        <v>71</v>
      </c>
      <c r="E66" s="36" t="s">
        <v>50</v>
      </c>
      <c r="F66" s="37" t="s">
        <v>51</v>
      </c>
      <c r="G66" s="35" t="s">
        <v>74</v>
      </c>
      <c r="H66" s="35" t="s">
        <v>14</v>
      </c>
      <c r="I66" s="30" t="s">
        <v>165</v>
      </c>
    </row>
    <row r="67" spans="1:10" ht="15.75" customHeight="1">
      <c r="B67" s="33"/>
      <c r="C67" s="38" t="s">
        <v>75</v>
      </c>
      <c r="D67" s="33"/>
      <c r="E67" s="33"/>
      <c r="F67" s="33"/>
      <c r="G67" s="59" t="s">
        <v>76</v>
      </c>
      <c r="H67" s="33"/>
      <c r="I67" s="33"/>
      <c r="J67" s="2">
        <f>SUM(I68:I72)</f>
        <v>7</v>
      </c>
    </row>
    <row r="68" spans="1:10" ht="15.75" customHeight="1">
      <c r="B68" s="41" t="s">
        <v>166</v>
      </c>
      <c r="C68" s="33" t="s">
        <v>167</v>
      </c>
      <c r="D68" s="33"/>
      <c r="E68" s="33"/>
      <c r="F68" s="33"/>
      <c r="G68" s="39" t="s">
        <v>92</v>
      </c>
      <c r="H68" s="33"/>
      <c r="I68" s="81">
        <v>2</v>
      </c>
    </row>
    <row r="69" spans="1:10" ht="15.75" customHeight="1">
      <c r="B69" s="41" t="s">
        <v>168</v>
      </c>
      <c r="C69" s="33" t="s">
        <v>169</v>
      </c>
      <c r="D69" s="33"/>
      <c r="E69" s="33"/>
      <c r="F69" s="33"/>
      <c r="G69" s="39" t="s">
        <v>92</v>
      </c>
      <c r="H69" s="33"/>
      <c r="I69" s="82">
        <v>1</v>
      </c>
    </row>
    <row r="70" spans="1:10" ht="15.75" customHeight="1">
      <c r="B70" s="41" t="s">
        <v>170</v>
      </c>
      <c r="C70" t="s">
        <v>171</v>
      </c>
      <c r="D70" s="33"/>
      <c r="E70" s="33"/>
      <c r="F70" s="33"/>
      <c r="G70" s="39" t="s">
        <v>92</v>
      </c>
      <c r="H70" s="33"/>
      <c r="I70" s="81">
        <v>1</v>
      </c>
    </row>
    <row r="71" spans="1:10" ht="15.75" customHeight="1">
      <c r="B71" s="41" t="s">
        <v>172</v>
      </c>
      <c r="C71" s="33" t="s">
        <v>173</v>
      </c>
      <c r="D71" s="33"/>
      <c r="E71" s="33"/>
      <c r="F71" s="33"/>
      <c r="G71" s="39" t="s">
        <v>92</v>
      </c>
      <c r="H71" s="33"/>
      <c r="I71" s="81">
        <v>2</v>
      </c>
    </row>
    <row r="72" spans="1:10" ht="15.75" customHeight="1">
      <c r="B72" s="41" t="s">
        <v>174</v>
      </c>
      <c r="C72" s="33" t="s">
        <v>175</v>
      </c>
      <c r="D72" s="33"/>
      <c r="E72" s="33"/>
      <c r="F72" s="33"/>
      <c r="G72" s="39" t="s">
        <v>92</v>
      </c>
      <c r="H72" s="33"/>
      <c r="I72" s="81">
        <v>1</v>
      </c>
    </row>
    <row r="73" spans="1:10" ht="24.75" customHeight="1">
      <c r="B73" s="35" t="s">
        <v>52</v>
      </c>
      <c r="C73" s="35" t="s">
        <v>176</v>
      </c>
      <c r="D73" s="35" t="s">
        <v>71</v>
      </c>
      <c r="E73" s="36" t="s">
        <v>54</v>
      </c>
      <c r="F73" s="37" t="s">
        <v>55</v>
      </c>
      <c r="G73" s="35" t="s">
        <v>74</v>
      </c>
      <c r="H73" s="35" t="s">
        <v>14</v>
      </c>
      <c r="I73" s="35" t="s">
        <v>165</v>
      </c>
    </row>
    <row r="74" spans="1:10" ht="15.75" customHeight="1">
      <c r="B74" s="33"/>
      <c r="C74" s="38" t="s">
        <v>75</v>
      </c>
      <c r="D74" s="33"/>
      <c r="E74" s="33"/>
      <c r="F74" s="33"/>
      <c r="G74" s="38" t="s">
        <v>76</v>
      </c>
      <c r="H74" s="33"/>
      <c r="I74" s="33"/>
    </row>
    <row r="75" spans="1:10" ht="15.75" customHeight="1">
      <c r="B75" s="34" t="s">
        <v>177</v>
      </c>
      <c r="C75" s="64" t="s">
        <v>178</v>
      </c>
      <c r="D75" s="33"/>
      <c r="E75" s="33"/>
      <c r="F75" s="33"/>
      <c r="G75" s="20" t="s">
        <v>112</v>
      </c>
      <c r="H75" s="33"/>
      <c r="I75" s="33">
        <v>2</v>
      </c>
    </row>
    <row r="76" spans="1:10" ht="15.75" customHeight="1">
      <c r="B76" s="34" t="s">
        <v>179</v>
      </c>
      <c r="C76" s="64" t="s">
        <v>180</v>
      </c>
      <c r="D76" s="33"/>
      <c r="E76" s="33"/>
      <c r="F76" s="33"/>
      <c r="G76" s="20" t="s">
        <v>112</v>
      </c>
      <c r="H76" s="33"/>
      <c r="I76" s="33">
        <v>1</v>
      </c>
      <c r="J76" s="2">
        <f>SUM(I75:I79)</f>
        <v>6</v>
      </c>
    </row>
    <row r="77" spans="1:10" ht="15.75" customHeight="1">
      <c r="B77" s="34" t="s">
        <v>181</v>
      </c>
      <c r="C77" s="64" t="s">
        <v>182</v>
      </c>
      <c r="D77" s="33"/>
      <c r="E77" s="33"/>
      <c r="F77" s="33"/>
      <c r="G77" s="20" t="s">
        <v>112</v>
      </c>
      <c r="H77" s="33"/>
      <c r="I77" s="33">
        <v>1</v>
      </c>
    </row>
    <row r="78" spans="1:10" ht="15.75" customHeight="1">
      <c r="B78" s="34" t="s">
        <v>183</v>
      </c>
      <c r="C78" s="64" t="s">
        <v>184</v>
      </c>
      <c r="D78" s="33"/>
      <c r="E78" s="33"/>
      <c r="F78" s="33"/>
      <c r="G78" s="28" t="s">
        <v>112</v>
      </c>
      <c r="H78" s="33"/>
      <c r="I78" s="33">
        <v>1</v>
      </c>
    </row>
    <row r="79" spans="1:10" ht="15.75" customHeight="1">
      <c r="B79" s="34" t="s">
        <v>185</v>
      </c>
      <c r="C79" s="64" t="s">
        <v>186</v>
      </c>
      <c r="D79" s="33"/>
      <c r="E79" s="33"/>
      <c r="F79" s="33"/>
      <c r="G79" s="28" t="s">
        <v>112</v>
      </c>
      <c r="H79" s="33"/>
      <c r="I79" s="78">
        <v>1</v>
      </c>
    </row>
    <row r="80" spans="1:10" ht="35.25" customHeight="1">
      <c r="B80" s="35" t="s">
        <v>56</v>
      </c>
      <c r="C80" s="35" t="s">
        <v>187</v>
      </c>
      <c r="D80" s="35" t="s">
        <v>71</v>
      </c>
      <c r="E80" s="36" t="s">
        <v>58</v>
      </c>
      <c r="F80" s="37" t="s">
        <v>59</v>
      </c>
      <c r="G80" s="35" t="s">
        <v>74</v>
      </c>
      <c r="H80" s="35" t="s">
        <v>14</v>
      </c>
      <c r="I80" s="30" t="s">
        <v>15</v>
      </c>
    </row>
    <row r="81" spans="2:10" ht="15.75" customHeight="1">
      <c r="B81" s="33"/>
      <c r="C81" s="38" t="s">
        <v>75</v>
      </c>
      <c r="D81" s="33"/>
      <c r="E81" s="33"/>
      <c r="F81" s="33"/>
      <c r="G81" s="38" t="s">
        <v>76</v>
      </c>
      <c r="H81" s="33"/>
      <c r="I81" s="33"/>
    </row>
    <row r="82" spans="2:10" ht="15.75" customHeight="1">
      <c r="B82" s="34" t="s">
        <v>188</v>
      </c>
      <c r="C82" s="64" t="s">
        <v>189</v>
      </c>
      <c r="D82" s="33"/>
      <c r="E82" s="33"/>
      <c r="F82" s="33"/>
      <c r="G82" s="33" t="s">
        <v>80</v>
      </c>
      <c r="H82" s="33"/>
      <c r="I82" s="33">
        <v>1</v>
      </c>
      <c r="J82" s="2">
        <f>SUM(I82:I85)</f>
        <v>4.5</v>
      </c>
    </row>
    <row r="83" spans="2:10" ht="15.75" customHeight="1">
      <c r="B83" s="34" t="s">
        <v>190</v>
      </c>
      <c r="C83" s="64" t="s">
        <v>191</v>
      </c>
      <c r="D83" s="33"/>
      <c r="E83" s="33"/>
      <c r="F83" s="33"/>
      <c r="G83" s="33" t="s">
        <v>80</v>
      </c>
      <c r="H83" s="33"/>
      <c r="I83" s="33">
        <v>1</v>
      </c>
    </row>
    <row r="84" spans="2:10" ht="15.75" customHeight="1">
      <c r="B84" s="34" t="s">
        <v>192</v>
      </c>
      <c r="C84" s="64" t="s">
        <v>193</v>
      </c>
      <c r="D84" s="33"/>
      <c r="E84" s="33"/>
      <c r="F84" s="33"/>
      <c r="G84" s="33" t="s">
        <v>80</v>
      </c>
      <c r="H84" s="33"/>
      <c r="I84" s="33">
        <v>1.5</v>
      </c>
    </row>
    <row r="85" spans="2:10" ht="15.75" customHeight="1">
      <c r="B85" s="34" t="s">
        <v>194</v>
      </c>
      <c r="C85" s="64" t="s">
        <v>195</v>
      </c>
      <c r="D85" s="33"/>
      <c r="E85" s="33"/>
      <c r="F85" s="33"/>
      <c r="G85" s="33" t="s">
        <v>80</v>
      </c>
      <c r="H85" s="33"/>
      <c r="I85" s="33">
        <v>1</v>
      </c>
    </row>
    <row r="86" spans="2:10" ht="24" customHeight="1">
      <c r="B86" s="35" t="s">
        <v>60</v>
      </c>
      <c r="C86" s="35" t="s">
        <v>61</v>
      </c>
      <c r="D86" s="35" t="s">
        <v>71</v>
      </c>
      <c r="E86" s="36" t="s">
        <v>62</v>
      </c>
      <c r="F86" s="37" t="s">
        <v>63</v>
      </c>
      <c r="G86" s="35" t="s">
        <v>74</v>
      </c>
      <c r="H86" s="35" t="s">
        <v>14</v>
      </c>
      <c r="I86" s="30" t="s">
        <v>15</v>
      </c>
    </row>
    <row r="87" spans="2:10" ht="15.75" customHeight="1">
      <c r="B87" s="33"/>
      <c r="C87" s="38" t="s">
        <v>75</v>
      </c>
      <c r="D87" s="33"/>
      <c r="E87" s="33"/>
      <c r="F87" s="33"/>
      <c r="G87" s="38" t="s">
        <v>76</v>
      </c>
      <c r="H87" s="33"/>
      <c r="I87" s="33"/>
      <c r="J87" s="2">
        <f>SUM(I88:I91)</f>
        <v>4.5</v>
      </c>
    </row>
    <row r="88" spans="2:10" ht="15.75" customHeight="1">
      <c r="B88" s="34" t="s">
        <v>196</v>
      </c>
      <c r="C88" s="64" t="s">
        <v>197</v>
      </c>
      <c r="D88" s="33"/>
      <c r="E88" s="33"/>
      <c r="F88" s="33"/>
      <c r="G88" s="33" t="s">
        <v>80</v>
      </c>
      <c r="H88" s="33"/>
      <c r="I88" s="33">
        <v>1</v>
      </c>
    </row>
    <row r="89" spans="2:10" ht="15.75" customHeight="1">
      <c r="B89" s="34" t="s">
        <v>198</v>
      </c>
      <c r="C89" s="64" t="s">
        <v>199</v>
      </c>
      <c r="D89" s="33"/>
      <c r="E89" s="33"/>
      <c r="F89" s="33"/>
      <c r="G89" s="33" t="s">
        <v>80</v>
      </c>
      <c r="H89" s="33"/>
      <c r="I89" s="33">
        <v>1</v>
      </c>
    </row>
    <row r="90" spans="2:10" ht="15.75" customHeight="1">
      <c r="B90" s="34" t="s">
        <v>200</v>
      </c>
      <c r="C90" s="64" t="s">
        <v>201</v>
      </c>
      <c r="D90" s="33"/>
      <c r="E90" s="33"/>
      <c r="F90" s="33"/>
      <c r="G90" s="33" t="s">
        <v>80</v>
      </c>
      <c r="H90" s="33"/>
      <c r="I90" s="64">
        <v>0.5</v>
      </c>
    </row>
    <row r="91" spans="2:10" ht="24.95" customHeight="1">
      <c r="B91" s="34" t="s">
        <v>202</v>
      </c>
      <c r="C91" s="65" t="s">
        <v>203</v>
      </c>
      <c r="D91" s="33"/>
      <c r="E91" s="33"/>
      <c r="F91" s="33"/>
      <c r="G91" s="33" t="s">
        <v>80</v>
      </c>
      <c r="H91" s="33"/>
      <c r="I91" s="33">
        <v>2</v>
      </c>
    </row>
    <row r="92" spans="2:10" ht="15.75" customHeight="1"/>
    <row r="93" spans="2:10" ht="15.75" customHeight="1"/>
    <row r="94" spans="2:10" ht="15.75" customHeight="1"/>
    <row r="95" spans="2:10" ht="15.75" customHeight="1"/>
    <row r="96" spans="2:1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sheetData>
  <mergeCells count="38">
    <mergeCell ref="C62:F62"/>
    <mergeCell ref="C63:F63"/>
    <mergeCell ref="C64:F64"/>
    <mergeCell ref="B65:I65"/>
    <mergeCell ref="C50:F50"/>
    <mergeCell ref="C51:F51"/>
    <mergeCell ref="C52:F52"/>
    <mergeCell ref="C44:F44"/>
    <mergeCell ref="C45:F45"/>
    <mergeCell ref="C46:F46"/>
    <mergeCell ref="C49:F49"/>
    <mergeCell ref="B35:I35"/>
    <mergeCell ref="C38:F38"/>
    <mergeCell ref="C39:F39"/>
    <mergeCell ref="C13:F13"/>
    <mergeCell ref="C14:F14"/>
    <mergeCell ref="C15:F15"/>
    <mergeCell ref="C16:F16"/>
    <mergeCell ref="C19:F19"/>
    <mergeCell ref="C20:F20"/>
    <mergeCell ref="C21:F21"/>
    <mergeCell ref="C22:F22"/>
    <mergeCell ref="C43:F43"/>
    <mergeCell ref="C25:F25"/>
    <mergeCell ref="C26:F26"/>
    <mergeCell ref="C27:F27"/>
    <mergeCell ref="C28:F28"/>
    <mergeCell ref="C31:F31"/>
    <mergeCell ref="C32:F32"/>
    <mergeCell ref="C40:F40"/>
    <mergeCell ref="C33:F33"/>
    <mergeCell ref="C34:F34"/>
    <mergeCell ref="C10:F10"/>
    <mergeCell ref="B2:I2"/>
    <mergeCell ref="C6:F6"/>
    <mergeCell ref="C7:F7"/>
    <mergeCell ref="C8:F8"/>
    <mergeCell ref="C9:F9"/>
  </mergeCells>
  <phoneticPr fontId="16" type="noConversion"/>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9496C-95BF-43E4-86D6-15F1098F0070}">
  <sheetPr>
    <outlinePr summaryBelow="0" summaryRight="0"/>
  </sheetPr>
  <dimension ref="A1:L1005"/>
  <sheetViews>
    <sheetView topLeftCell="A104" zoomScale="81" zoomScaleNormal="81" workbookViewId="0">
      <selection activeCell="K113" sqref="K113"/>
    </sheetView>
  </sheetViews>
  <sheetFormatPr defaultColWidth="12.5703125" defaultRowHeight="15" customHeight="1"/>
  <cols>
    <col min="1" max="1" width="12.5703125" style="2" customWidth="1"/>
    <col min="2" max="2" width="24.7109375" style="2" customWidth="1"/>
    <col min="3" max="3" width="12.5703125" style="2" customWidth="1"/>
    <col min="4" max="4" width="16.28515625" style="2" customWidth="1"/>
    <col min="5" max="8" width="12.5703125" style="2" customWidth="1"/>
    <col min="9" max="9" width="16.7109375" style="2" bestFit="1" customWidth="1"/>
    <col min="10" max="10" width="16.28515625" style="2" bestFit="1" customWidth="1"/>
    <col min="11" max="11" width="13" style="2" bestFit="1" customWidth="1"/>
    <col min="12" max="12" width="25.5703125" style="2" customWidth="1"/>
    <col min="13" max="16384" width="12.5703125" style="2"/>
  </cols>
  <sheetData>
    <row r="1" spans="1:12" ht="15.75" customHeight="1"/>
    <row r="2" spans="1:12" ht="15.75" customHeight="1">
      <c r="E2" s="85" t="s">
        <v>204</v>
      </c>
      <c r="F2" s="85"/>
      <c r="G2" s="85"/>
      <c r="H2" s="85"/>
      <c r="I2" s="85"/>
      <c r="L2" s="2" t="s">
        <v>205</v>
      </c>
    </row>
    <row r="3" spans="1:12" ht="15.75" customHeight="1">
      <c r="L3" s="2">
        <f>SUM(K11,K39,K66,K96,K125)</f>
        <v>61.5</v>
      </c>
    </row>
    <row r="4" spans="1:12" ht="15.75" customHeight="1">
      <c r="B4" s="86" t="s">
        <v>206</v>
      </c>
      <c r="C4" s="86"/>
      <c r="D4" s="86"/>
      <c r="E4" s="86"/>
      <c r="F4" s="86"/>
      <c r="G4" s="86"/>
      <c r="H4" s="86"/>
      <c r="I4" s="86"/>
      <c r="J4" s="86"/>
      <c r="K4" s="86"/>
    </row>
    <row r="5" spans="1:12" ht="15.75" customHeight="1">
      <c r="B5" s="50"/>
      <c r="C5" s="50" t="s">
        <v>77</v>
      </c>
      <c r="D5" s="50" t="s">
        <v>207</v>
      </c>
      <c r="E5" s="50" t="s">
        <v>208</v>
      </c>
      <c r="F5" s="50" t="s">
        <v>209</v>
      </c>
      <c r="G5" s="50" t="s">
        <v>210</v>
      </c>
      <c r="H5" s="50" t="s">
        <v>211</v>
      </c>
      <c r="I5" s="50" t="s">
        <v>212</v>
      </c>
      <c r="J5" s="50" t="s">
        <v>213</v>
      </c>
      <c r="K5" s="50" t="s">
        <v>214</v>
      </c>
    </row>
    <row r="6" spans="1:12" ht="15.75" customHeight="1">
      <c r="A6" s="3"/>
      <c r="B6" s="61" t="s">
        <v>78</v>
      </c>
      <c r="C6" s="51">
        <v>1</v>
      </c>
      <c r="D6" s="61">
        <v>0</v>
      </c>
      <c r="E6" s="61">
        <v>0</v>
      </c>
      <c r="F6" s="61">
        <v>0</v>
      </c>
      <c r="G6" s="61">
        <v>0</v>
      </c>
      <c r="H6" s="61">
        <v>0</v>
      </c>
      <c r="I6" s="61">
        <v>0</v>
      </c>
      <c r="J6" s="61">
        <v>1</v>
      </c>
      <c r="K6" s="52">
        <f>SUM(D6:J6)</f>
        <v>1</v>
      </c>
    </row>
    <row r="7" spans="1:12" ht="15.75" customHeight="1">
      <c r="A7" s="3"/>
      <c r="B7" s="61" t="s">
        <v>81</v>
      </c>
      <c r="C7" s="51">
        <v>3</v>
      </c>
      <c r="D7" s="61">
        <v>0</v>
      </c>
      <c r="E7" s="61">
        <v>0</v>
      </c>
      <c r="F7" s="61">
        <v>0</v>
      </c>
      <c r="G7" s="61">
        <v>1</v>
      </c>
      <c r="H7" s="61">
        <v>1</v>
      </c>
      <c r="I7" s="61">
        <v>1</v>
      </c>
      <c r="J7" s="61">
        <v>0</v>
      </c>
      <c r="K7" s="52">
        <f t="shared" ref="K7:K10" si="0">SUM(D7:J7)</f>
        <v>3</v>
      </c>
    </row>
    <row r="8" spans="1:12" ht="15.75" customHeight="1">
      <c r="B8" s="61" t="s">
        <v>83</v>
      </c>
      <c r="C8" s="51">
        <v>4</v>
      </c>
      <c r="D8" s="61">
        <v>1</v>
      </c>
      <c r="E8" s="61">
        <v>2</v>
      </c>
      <c r="F8" s="61">
        <v>1</v>
      </c>
      <c r="G8" s="61">
        <v>1</v>
      </c>
      <c r="H8" s="61">
        <v>0</v>
      </c>
      <c r="I8" s="61">
        <v>0</v>
      </c>
      <c r="J8" s="61">
        <v>0</v>
      </c>
      <c r="K8" s="52">
        <f t="shared" si="0"/>
        <v>5</v>
      </c>
    </row>
    <row r="9" spans="1:12" ht="15.75" customHeight="1">
      <c r="B9" s="61" t="s">
        <v>85</v>
      </c>
      <c r="C9" s="51">
        <v>3</v>
      </c>
      <c r="D9" s="61">
        <v>2</v>
      </c>
      <c r="E9" s="61">
        <v>0</v>
      </c>
      <c r="F9" s="61">
        <v>0</v>
      </c>
      <c r="G9" s="61">
        <v>1</v>
      </c>
      <c r="H9" s="61">
        <v>0</v>
      </c>
      <c r="I9" s="61">
        <v>1</v>
      </c>
      <c r="J9" s="61">
        <v>0</v>
      </c>
      <c r="K9" s="52">
        <f t="shared" si="0"/>
        <v>4</v>
      </c>
    </row>
    <row r="10" spans="1:12" ht="15.75" customHeight="1">
      <c r="B10" s="61" t="s">
        <v>87</v>
      </c>
      <c r="C10" s="51">
        <v>0.5</v>
      </c>
      <c r="D10" s="6">
        <v>0.5</v>
      </c>
      <c r="E10" s="61">
        <v>0</v>
      </c>
      <c r="F10" s="61">
        <v>0</v>
      </c>
      <c r="G10" s="61">
        <v>0</v>
      </c>
      <c r="H10" s="61">
        <v>0</v>
      </c>
      <c r="I10" s="61">
        <v>0</v>
      </c>
      <c r="J10" s="61">
        <v>0</v>
      </c>
      <c r="K10" s="52">
        <f t="shared" si="0"/>
        <v>0.5</v>
      </c>
    </row>
    <row r="11" spans="1:12" ht="15.75" customHeight="1">
      <c r="B11" s="53" t="s">
        <v>215</v>
      </c>
      <c r="C11" s="50">
        <f>SUM(C6:C10)</f>
        <v>11.5</v>
      </c>
      <c r="D11" s="50">
        <f>SUM(D6:D10)</f>
        <v>3.5</v>
      </c>
      <c r="E11" s="50">
        <f t="shared" ref="E11:J11" si="1">SUM(E6:E10)</f>
        <v>2</v>
      </c>
      <c r="F11" s="50">
        <f t="shared" si="1"/>
        <v>1</v>
      </c>
      <c r="G11" s="50">
        <f t="shared" si="1"/>
        <v>3</v>
      </c>
      <c r="H11" s="50">
        <f t="shared" si="1"/>
        <v>1</v>
      </c>
      <c r="I11" s="50">
        <f t="shared" si="1"/>
        <v>2</v>
      </c>
      <c r="J11" s="50">
        <f t="shared" si="1"/>
        <v>1</v>
      </c>
      <c r="K11" s="66">
        <f>SUM(D11:J11)</f>
        <v>13.5</v>
      </c>
    </row>
    <row r="12" spans="1:12" ht="15.75" customHeight="1">
      <c r="B12" s="53" t="s">
        <v>216</v>
      </c>
      <c r="C12" s="50">
        <f>SUM(C6:C10)</f>
        <v>11.5</v>
      </c>
      <c r="D12" s="50">
        <f>C12-(SUM(C6:C10)/7)</f>
        <v>9.8571428571428577</v>
      </c>
      <c r="E12" s="50">
        <f>D12-(SUM(C6:C10)/7)</f>
        <v>8.2142857142857153</v>
      </c>
      <c r="F12" s="50">
        <f>E12-(SUM(C6:C10)/7)</f>
        <v>6.571428571428573</v>
      </c>
      <c r="G12" s="50">
        <f>F12-(SUM(C6:C10)/7)</f>
        <v>4.9285714285714306</v>
      </c>
      <c r="H12" s="50">
        <f>G12-(SUM(C6:C10)/7)</f>
        <v>3.2857142857142878</v>
      </c>
      <c r="I12" s="50">
        <f>H12-(SUM(C6:C10)/7)</f>
        <v>1.642857142857145</v>
      </c>
      <c r="J12" s="50">
        <f>I12-(SUM(C6:C10)/7)</f>
        <v>2.2204460492503131E-15</v>
      </c>
      <c r="K12" s="54"/>
    </row>
    <row r="13" spans="1:12" ht="15.75" customHeight="1"/>
    <row r="14" spans="1:12" ht="15.75" customHeight="1"/>
    <row r="15" spans="1:12" ht="15.75" customHeight="1"/>
    <row r="16" spans="1:12" ht="15.75" customHeight="1"/>
    <row r="17" spans="2:5" ht="15.75" customHeight="1"/>
    <row r="18" spans="2:5" ht="15.75" customHeight="1"/>
    <row r="19" spans="2:5" ht="15.75" customHeight="1"/>
    <row r="20" spans="2:5" ht="15.75" customHeight="1"/>
    <row r="21" spans="2:5" ht="15.75" customHeight="1">
      <c r="B21" s="84"/>
      <c r="C21" s="84"/>
      <c r="D21" s="84"/>
      <c r="E21" s="84"/>
    </row>
    <row r="22" spans="2:5" ht="15.75" customHeight="1">
      <c r="B22" s="84"/>
      <c r="C22" s="84"/>
      <c r="D22" s="84"/>
      <c r="E22" s="84"/>
    </row>
    <row r="23" spans="2:5" ht="15.75" customHeight="1">
      <c r="B23" s="84"/>
      <c r="C23" s="84"/>
      <c r="D23" s="84"/>
      <c r="E23" s="84"/>
    </row>
    <row r="24" spans="2:5" ht="15.75" customHeight="1">
      <c r="B24" s="84"/>
      <c r="C24" s="84"/>
      <c r="D24" s="84"/>
      <c r="E24" s="84"/>
    </row>
    <row r="25" spans="2:5" ht="15.75" customHeight="1">
      <c r="B25" s="84"/>
      <c r="C25" s="84"/>
      <c r="D25" s="84"/>
      <c r="E25" s="84"/>
    </row>
    <row r="26" spans="2:5" ht="15.75" customHeight="1">
      <c r="B26" s="84"/>
      <c r="C26" s="84"/>
      <c r="D26" s="84"/>
      <c r="E26" s="84"/>
    </row>
    <row r="27" spans="2:5" ht="15.75" customHeight="1">
      <c r="B27" s="84"/>
      <c r="C27" s="84"/>
      <c r="D27" s="84"/>
      <c r="E27" s="84"/>
    </row>
    <row r="28" spans="2:5" ht="15.75" customHeight="1">
      <c r="B28" s="84"/>
      <c r="C28" s="84"/>
      <c r="D28" s="84"/>
      <c r="E28" s="84"/>
    </row>
    <row r="29" spans="2:5" ht="15.75" customHeight="1">
      <c r="B29" s="84"/>
      <c r="C29" s="84"/>
      <c r="D29" s="84"/>
      <c r="E29" s="84"/>
    </row>
    <row r="30" spans="2:5" ht="15.75" customHeight="1">
      <c r="B30" s="84"/>
      <c r="C30" s="84"/>
      <c r="D30" s="84"/>
      <c r="E30" s="84"/>
    </row>
    <row r="31" spans="2:5" ht="15.75" customHeight="1">
      <c r="B31" s="84"/>
      <c r="C31" s="84"/>
      <c r="D31" s="84"/>
      <c r="E31" s="84"/>
    </row>
    <row r="32" spans="2:5" ht="15.75" customHeight="1"/>
    <row r="33" spans="2:11" ht="15.75" customHeight="1">
      <c r="B33" s="87" t="s">
        <v>217</v>
      </c>
      <c r="C33" s="87"/>
      <c r="D33" s="87"/>
      <c r="E33" s="87"/>
      <c r="F33" s="87"/>
      <c r="G33" s="87"/>
      <c r="H33" s="87"/>
      <c r="I33" s="87"/>
      <c r="J33" s="87"/>
      <c r="K33" s="87"/>
    </row>
    <row r="34" spans="2:11" ht="41.45" customHeight="1">
      <c r="B34" s="7" t="s">
        <v>218</v>
      </c>
      <c r="C34" s="7" t="s">
        <v>77</v>
      </c>
      <c r="D34" s="9" t="s">
        <v>219</v>
      </c>
      <c r="E34" s="9" t="s">
        <v>220</v>
      </c>
      <c r="F34" s="9" t="s">
        <v>221</v>
      </c>
      <c r="G34" s="9" t="s">
        <v>222</v>
      </c>
      <c r="H34" s="9" t="s">
        <v>223</v>
      </c>
      <c r="I34" s="7" t="s">
        <v>224</v>
      </c>
      <c r="J34" s="7" t="s">
        <v>213</v>
      </c>
      <c r="K34" s="7" t="s">
        <v>214</v>
      </c>
    </row>
    <row r="35" spans="2:11" ht="15.75" customHeight="1">
      <c r="B35" s="7" t="s">
        <v>90</v>
      </c>
      <c r="C35" s="8">
        <v>1.5</v>
      </c>
      <c r="D35" s="9">
        <v>0</v>
      </c>
      <c r="E35" s="9">
        <v>0.5</v>
      </c>
      <c r="F35" s="9">
        <v>0</v>
      </c>
      <c r="G35" s="9">
        <v>0</v>
      </c>
      <c r="H35" s="9">
        <v>0</v>
      </c>
      <c r="I35" s="7">
        <v>0</v>
      </c>
      <c r="J35" s="7">
        <v>1</v>
      </c>
      <c r="K35" s="66">
        <f>SUM(D35:J35)</f>
        <v>1.5</v>
      </c>
    </row>
    <row r="36" spans="2:11" ht="15.75" customHeight="1">
      <c r="B36" s="7" t="s">
        <v>93</v>
      </c>
      <c r="C36" s="8">
        <v>4</v>
      </c>
      <c r="D36" s="9">
        <v>1</v>
      </c>
      <c r="E36" s="9">
        <v>1</v>
      </c>
      <c r="F36" s="9">
        <v>1</v>
      </c>
      <c r="G36" s="9">
        <v>1</v>
      </c>
      <c r="H36" s="9">
        <v>0</v>
      </c>
      <c r="I36" s="7">
        <v>0</v>
      </c>
      <c r="J36" s="7">
        <v>0</v>
      </c>
      <c r="K36" s="66">
        <f>SUM(D36:J36)</f>
        <v>4</v>
      </c>
    </row>
    <row r="37" spans="2:11" ht="15.75" customHeight="1">
      <c r="B37" s="7" t="s">
        <v>95</v>
      </c>
      <c r="C37" s="8">
        <v>3</v>
      </c>
      <c r="D37" s="9">
        <v>2.5</v>
      </c>
      <c r="E37" s="9">
        <v>0</v>
      </c>
      <c r="F37" s="9">
        <v>0</v>
      </c>
      <c r="G37" s="9">
        <v>1</v>
      </c>
      <c r="H37" s="9">
        <v>0</v>
      </c>
      <c r="I37" s="7">
        <v>0</v>
      </c>
      <c r="J37" s="7">
        <v>0</v>
      </c>
      <c r="K37" s="66">
        <f>SUM(D37:J37)</f>
        <v>3.5</v>
      </c>
    </row>
    <row r="38" spans="2:11" ht="15.75" customHeight="1">
      <c r="B38" s="7" t="s">
        <v>97</v>
      </c>
      <c r="C38" s="8">
        <v>2.5</v>
      </c>
      <c r="D38" s="15">
        <v>1</v>
      </c>
      <c r="E38" s="9">
        <v>1</v>
      </c>
      <c r="F38" s="9">
        <v>0</v>
      </c>
      <c r="G38" s="9">
        <v>0.5</v>
      </c>
      <c r="H38" s="9">
        <v>0</v>
      </c>
      <c r="I38" s="7">
        <v>0</v>
      </c>
      <c r="J38" s="7">
        <v>0</v>
      </c>
      <c r="K38" s="66">
        <f>SUM(D38:J38)</f>
        <v>2.5</v>
      </c>
    </row>
    <row r="39" spans="2:11" ht="18" customHeight="1">
      <c r="B39" s="70" t="s">
        <v>215</v>
      </c>
      <c r="C39" s="50">
        <f>SUM(C34:C38)</f>
        <v>11</v>
      </c>
      <c r="D39" s="50">
        <f>SUM(D34:D38)</f>
        <v>4.5</v>
      </c>
      <c r="E39" s="50">
        <f>SUM(E34:E38)</f>
        <v>2.5</v>
      </c>
      <c r="F39" s="50">
        <f>SUM(F34:F38)</f>
        <v>1</v>
      </c>
      <c r="G39" s="50">
        <f>SUM(G34:G38)</f>
        <v>2.5</v>
      </c>
      <c r="H39" s="50">
        <f>SUM(H34:H38)</f>
        <v>0</v>
      </c>
      <c r="I39" s="50">
        <f>SUM(I34:I38)</f>
        <v>0</v>
      </c>
      <c r="J39" s="50">
        <f>SUM(J34:J38)</f>
        <v>1</v>
      </c>
      <c r="K39" s="66">
        <f>SUM(D39:J39)</f>
        <v>11.5</v>
      </c>
    </row>
    <row r="40" spans="2:11" ht="26.1" customHeight="1">
      <c r="B40" s="73" t="s">
        <v>216</v>
      </c>
      <c r="C40" s="50">
        <f>SUM(C34:C38)</f>
        <v>11</v>
      </c>
      <c r="D40" s="50">
        <f>C40-(SUM(C34:C38)/7)</f>
        <v>9.4285714285714288</v>
      </c>
      <c r="E40" s="50">
        <f>D40-(SUM(C34:C38)/7)</f>
        <v>7.8571428571428577</v>
      </c>
      <c r="F40" s="50">
        <f>E40-(SUM(C34:C38)/7)</f>
        <v>6.2857142857142865</v>
      </c>
      <c r="G40" s="50">
        <f>F40-(SUM(C34:C38)/7)</f>
        <v>4.7142857142857153</v>
      </c>
      <c r="H40" s="50">
        <f>G40-(SUM(C34:C38)/7)</f>
        <v>3.1428571428571441</v>
      </c>
      <c r="I40" s="50">
        <f>H40-(SUM(C34:C38)/7)</f>
        <v>1.5714285714285727</v>
      </c>
      <c r="J40" s="50">
        <f>I40-(SUM(C34:C38)/7)</f>
        <v>0</v>
      </c>
      <c r="K40" s="11" t="s">
        <v>218</v>
      </c>
    </row>
    <row r="41" spans="2:11" ht="15.75" customHeight="1">
      <c r="J41"/>
    </row>
    <row r="42" spans="2:11" ht="15.75" customHeight="1"/>
    <row r="43" spans="2:11" ht="15.75" customHeight="1"/>
    <row r="44" spans="2:11" ht="15.75" customHeight="1"/>
    <row r="45" spans="2:11" ht="15.75" customHeight="1"/>
    <row r="46" spans="2:11" ht="15.75" customHeight="1"/>
    <row r="47" spans="2:11" ht="15.75" customHeight="1"/>
    <row r="48" spans="2:11" ht="15.75" customHeight="1"/>
    <row r="49" spans="1:11" ht="15.75" customHeight="1"/>
    <row r="50" spans="1:11" ht="15.75" customHeight="1"/>
    <row r="51" spans="1:11" ht="15.75" customHeight="1"/>
    <row r="52" spans="1:11" ht="15.75" customHeight="1"/>
    <row r="53" spans="1:11" ht="15.75" customHeight="1"/>
    <row r="54" spans="1:11" ht="15.75" customHeight="1"/>
    <row r="55" spans="1:11" ht="15.75" customHeight="1"/>
    <row r="56" spans="1:11" ht="15.75" customHeight="1"/>
    <row r="57" spans="1:11" ht="15.75" customHeight="1"/>
    <row r="58" spans="1:11" ht="15.75" customHeight="1">
      <c r="D58" s="4"/>
    </row>
    <row r="59" spans="1:11" ht="15.75" customHeight="1"/>
    <row r="60" spans="1:11" ht="15.75" customHeight="1">
      <c r="A60" s="77"/>
      <c r="B60" s="88" t="s">
        <v>225</v>
      </c>
      <c r="C60" s="89"/>
      <c r="D60" s="89"/>
      <c r="E60" s="89"/>
      <c r="F60" s="89"/>
      <c r="G60" s="89"/>
      <c r="H60" s="89"/>
      <c r="I60" s="89"/>
      <c r="J60" s="89"/>
      <c r="K60" s="90"/>
    </row>
    <row r="61" spans="1:11" ht="15.75" customHeight="1">
      <c r="A61" s="77"/>
      <c r="B61" s="7" t="s">
        <v>218</v>
      </c>
      <c r="C61" s="7" t="s">
        <v>77</v>
      </c>
      <c r="D61" s="9" t="s">
        <v>219</v>
      </c>
      <c r="E61" s="9" t="s">
        <v>208</v>
      </c>
      <c r="F61" s="9" t="s">
        <v>221</v>
      </c>
      <c r="G61" s="9" t="s">
        <v>222</v>
      </c>
      <c r="H61" s="9" t="s">
        <v>223</v>
      </c>
      <c r="I61" s="7" t="s">
        <v>224</v>
      </c>
      <c r="J61" s="7" t="s">
        <v>213</v>
      </c>
      <c r="K61" s="7" t="s">
        <v>214</v>
      </c>
    </row>
    <row r="62" spans="1:11" ht="15.75" customHeight="1">
      <c r="A62" s="77"/>
      <c r="B62" s="7" t="s">
        <v>100</v>
      </c>
      <c r="C62" s="70">
        <v>1.5</v>
      </c>
      <c r="D62" s="9">
        <v>0</v>
      </c>
      <c r="E62" s="9">
        <v>1</v>
      </c>
      <c r="F62" s="9">
        <v>1</v>
      </c>
      <c r="G62" s="9">
        <v>0</v>
      </c>
      <c r="H62" s="9">
        <v>0</v>
      </c>
      <c r="I62" s="9" t="s">
        <v>226</v>
      </c>
      <c r="J62" s="9">
        <v>0</v>
      </c>
      <c r="K62" s="66">
        <f>SUM(D62:J62)</f>
        <v>2</v>
      </c>
    </row>
    <row r="63" spans="1:11" ht="15.75" customHeight="1">
      <c r="A63" s="77"/>
      <c r="B63" s="7" t="s">
        <v>102</v>
      </c>
      <c r="C63" s="73">
        <v>4</v>
      </c>
      <c r="D63" s="9">
        <v>0.5</v>
      </c>
      <c r="E63" s="9">
        <v>1.5</v>
      </c>
      <c r="F63" s="9">
        <v>0</v>
      </c>
      <c r="G63" s="9">
        <v>1.5</v>
      </c>
      <c r="H63" s="9">
        <v>1</v>
      </c>
      <c r="I63" s="9">
        <v>0</v>
      </c>
      <c r="J63" s="9">
        <v>0</v>
      </c>
      <c r="K63" s="66">
        <f>SUM(D63:J63)</f>
        <v>4.5</v>
      </c>
    </row>
    <row r="64" spans="1:11" ht="15.75" customHeight="1">
      <c r="A64" s="77"/>
      <c r="B64" s="7" t="s">
        <v>104</v>
      </c>
      <c r="C64" s="70">
        <v>3</v>
      </c>
      <c r="D64" s="9">
        <v>0.5</v>
      </c>
      <c r="E64" s="9">
        <v>1</v>
      </c>
      <c r="F64" s="9">
        <v>1</v>
      </c>
      <c r="G64" s="9">
        <v>0</v>
      </c>
      <c r="H64" s="9">
        <v>1</v>
      </c>
      <c r="I64" s="9">
        <v>0</v>
      </c>
      <c r="J64" s="9">
        <v>0</v>
      </c>
      <c r="K64" s="66">
        <f>SUM(D64:J64)</f>
        <v>3.5</v>
      </c>
    </row>
    <row r="65" spans="1:11" ht="15.75" customHeight="1">
      <c r="A65" s="77"/>
      <c r="B65" s="7" t="s">
        <v>106</v>
      </c>
      <c r="C65" s="73">
        <v>2.5</v>
      </c>
      <c r="D65" s="9">
        <v>0</v>
      </c>
      <c r="E65" s="9">
        <v>0</v>
      </c>
      <c r="F65" s="9">
        <v>0.5</v>
      </c>
      <c r="G65" s="9">
        <v>0</v>
      </c>
      <c r="H65" s="9">
        <v>0</v>
      </c>
      <c r="I65" s="9">
        <v>1</v>
      </c>
      <c r="J65" s="9">
        <v>1</v>
      </c>
      <c r="K65" s="66">
        <f>SUM(D65:J65)</f>
        <v>2.5</v>
      </c>
    </row>
    <row r="66" spans="1:11" ht="21.75" customHeight="1">
      <c r="A66" s="77"/>
      <c r="B66" s="70" t="s">
        <v>215</v>
      </c>
      <c r="C66" s="7">
        <f>SUM(C62:C65)</f>
        <v>11</v>
      </c>
      <c r="D66" s="72">
        <f>SUM(D62:D65)</f>
        <v>1</v>
      </c>
      <c r="E66" s="14">
        <f>SUM(E62:E65)</f>
        <v>3.5</v>
      </c>
      <c r="F66" s="9">
        <f>SUM(F62:F65)</f>
        <v>2.5</v>
      </c>
      <c r="G66" s="9">
        <f>SUM(G62:G65)</f>
        <v>1.5</v>
      </c>
      <c r="H66" s="9">
        <f>SUM(H62:H65)</f>
        <v>2</v>
      </c>
      <c r="I66" s="71">
        <f>SUM(I62:I65)</f>
        <v>1</v>
      </c>
      <c r="J66" s="7">
        <f>SUM(J62:J65)</f>
        <v>1</v>
      </c>
      <c r="K66" s="66">
        <f>SUM(D66:J66)</f>
        <v>12.5</v>
      </c>
    </row>
    <row r="67" spans="1:11" ht="25.5" customHeight="1">
      <c r="A67" s="77"/>
      <c r="B67" s="73" t="s">
        <v>216</v>
      </c>
      <c r="C67" s="7">
        <f>SUM(C63:C66)</f>
        <v>20.5</v>
      </c>
      <c r="D67" s="74">
        <f>C67-(SUM(C62:C65)/7)</f>
        <v>18.928571428571427</v>
      </c>
      <c r="E67" s="10">
        <f>D67-(SUM(C62:C65)/7)</f>
        <v>17.357142857142854</v>
      </c>
      <c r="F67" s="9">
        <f>E67-(SUM(C62:C65)/7)</f>
        <v>15.785714285714283</v>
      </c>
      <c r="G67" s="9">
        <f>F67-(SUM(C62:C65)/7)</f>
        <v>14.214285714285712</v>
      </c>
      <c r="H67" s="9">
        <f>G67-(SUM(C62:C65)/7)</f>
        <v>12.642857142857141</v>
      </c>
      <c r="I67" s="71">
        <f>H67-(SUM(C62:C65)/7)</f>
        <v>11.071428571428569</v>
      </c>
      <c r="J67" s="75">
        <f>I67-(SUM(C62:C65)/7)</f>
        <v>9.4999999999999982</v>
      </c>
      <c r="K67" s="5" t="s">
        <v>218</v>
      </c>
    </row>
    <row r="68" spans="1:11" ht="15.75" customHeight="1">
      <c r="A68" s="77"/>
      <c r="B68" s="77"/>
      <c r="C68" s="77"/>
      <c r="D68" s="77"/>
      <c r="E68" s="77"/>
      <c r="F68" s="77"/>
      <c r="G68" s="77"/>
      <c r="H68" s="77"/>
      <c r="I68" s="77"/>
      <c r="J68" s="77"/>
      <c r="K68" s="77"/>
    </row>
    <row r="69" spans="1:11" ht="15.75" customHeight="1">
      <c r="A69" s="77"/>
      <c r="B69" s="77"/>
      <c r="C69" s="77"/>
      <c r="D69" s="77"/>
      <c r="E69" s="77"/>
      <c r="F69" s="77"/>
      <c r="G69" s="77"/>
      <c r="H69" s="77"/>
      <c r="I69" s="77"/>
      <c r="J69" s="77"/>
      <c r="K69" s="77"/>
    </row>
    <row r="70" spans="1:11" ht="15.75" customHeight="1">
      <c r="A70" s="77"/>
      <c r="B70" s="77"/>
      <c r="C70" s="77"/>
      <c r="D70" s="77"/>
      <c r="E70" s="77"/>
      <c r="F70" s="77"/>
      <c r="G70" s="77"/>
      <c r="H70" s="77"/>
      <c r="I70" s="77"/>
      <c r="J70" s="77"/>
      <c r="K70" s="77"/>
    </row>
    <row r="71" spans="1:11" ht="15.75" customHeight="1">
      <c r="A71" s="77"/>
      <c r="B71" s="77"/>
      <c r="C71" s="77"/>
      <c r="D71" s="77"/>
      <c r="E71" s="77"/>
      <c r="F71" s="77"/>
      <c r="G71" s="77"/>
      <c r="H71" s="77"/>
      <c r="I71" s="77"/>
      <c r="J71" s="77"/>
      <c r="K71" s="77"/>
    </row>
    <row r="72" spans="1:11" ht="15.75" customHeight="1">
      <c r="A72" s="77"/>
      <c r="B72" s="77"/>
      <c r="C72" s="77"/>
      <c r="D72" s="77"/>
      <c r="E72" s="77"/>
      <c r="F72" s="77"/>
      <c r="G72" s="77"/>
      <c r="H72" s="77"/>
      <c r="I72" s="77"/>
      <c r="J72" s="77"/>
      <c r="K72" s="77"/>
    </row>
    <row r="73" spans="1:11" ht="15.75" customHeight="1">
      <c r="A73" s="77"/>
      <c r="B73" s="77"/>
      <c r="C73" s="77"/>
      <c r="D73" s="77"/>
      <c r="E73" s="77"/>
      <c r="F73" s="77"/>
      <c r="G73" s="77"/>
      <c r="H73" s="77"/>
      <c r="I73" s="77"/>
      <c r="J73" s="77"/>
      <c r="K73" s="77"/>
    </row>
    <row r="74" spans="1:11" ht="15.75" customHeight="1">
      <c r="A74" s="77"/>
      <c r="B74" s="77"/>
      <c r="C74" s="77"/>
      <c r="D74" s="77"/>
      <c r="E74" s="77"/>
      <c r="F74" s="77"/>
      <c r="G74" s="77"/>
      <c r="H74" s="77"/>
      <c r="I74" s="77"/>
      <c r="J74" s="77"/>
      <c r="K74" s="77"/>
    </row>
    <row r="75" spans="1:11" ht="15.75" customHeight="1">
      <c r="A75" s="77"/>
      <c r="B75" s="77"/>
      <c r="C75" s="77"/>
      <c r="D75" s="77"/>
      <c r="E75" s="77"/>
      <c r="F75" s="77"/>
      <c r="G75" s="77"/>
      <c r="H75" s="77"/>
      <c r="I75" s="77"/>
      <c r="J75" s="77"/>
      <c r="K75" s="77"/>
    </row>
    <row r="76" spans="1:11" ht="15.75" customHeight="1">
      <c r="A76" s="77"/>
      <c r="B76" s="77"/>
      <c r="C76" s="77"/>
      <c r="D76" s="77"/>
      <c r="E76" s="77"/>
      <c r="F76" s="77"/>
      <c r="G76" s="77"/>
      <c r="H76" s="77"/>
      <c r="I76" s="77"/>
      <c r="J76" s="77"/>
      <c r="K76" s="77"/>
    </row>
    <row r="77" spans="1:11" ht="15.75" customHeight="1">
      <c r="A77" s="77"/>
      <c r="B77" s="77"/>
      <c r="C77" s="77"/>
      <c r="D77" s="77"/>
      <c r="E77" s="77"/>
      <c r="F77" s="77"/>
      <c r="G77" s="77"/>
      <c r="H77" s="77"/>
      <c r="I77" s="77"/>
      <c r="J77" s="77"/>
      <c r="K77" s="77"/>
    </row>
    <row r="78" spans="1:11" ht="15.75" customHeight="1">
      <c r="A78" s="77"/>
      <c r="B78" s="77"/>
      <c r="C78" s="77"/>
      <c r="D78" s="77"/>
      <c r="E78" s="77"/>
      <c r="F78" s="77"/>
      <c r="G78" s="77"/>
      <c r="H78" s="77"/>
      <c r="I78" s="77"/>
      <c r="J78" s="77"/>
      <c r="K78" s="77"/>
    </row>
    <row r="79" spans="1:11" ht="15.75" customHeight="1">
      <c r="A79" s="77"/>
      <c r="B79" s="77"/>
      <c r="C79" s="77"/>
      <c r="D79" s="77"/>
      <c r="E79" s="77"/>
      <c r="F79" s="77"/>
      <c r="G79" s="77"/>
      <c r="H79" s="77"/>
      <c r="I79" s="77"/>
      <c r="J79" s="77"/>
      <c r="K79" s="77"/>
    </row>
    <row r="80" spans="1:11" ht="15.75" customHeight="1">
      <c r="A80" s="77"/>
      <c r="B80" s="77"/>
      <c r="C80" s="77"/>
      <c r="D80" s="77"/>
      <c r="E80" s="77"/>
      <c r="F80" s="77"/>
      <c r="G80" s="77"/>
      <c r="H80" s="77"/>
      <c r="I80" s="77"/>
      <c r="J80" s="77"/>
      <c r="K80" s="77"/>
    </row>
    <row r="81" spans="1:11" ht="15.75" customHeight="1">
      <c r="A81" s="77"/>
      <c r="B81" s="77"/>
      <c r="C81" s="77"/>
      <c r="D81" s="77"/>
      <c r="E81" s="77"/>
      <c r="F81" s="77"/>
      <c r="G81" s="77"/>
      <c r="H81" s="77"/>
      <c r="I81" s="77"/>
      <c r="J81" s="77"/>
      <c r="K81" s="77"/>
    </row>
    <row r="82" spans="1:11" ht="15.75" customHeight="1">
      <c r="A82" s="77"/>
      <c r="B82" s="77"/>
      <c r="C82" s="77"/>
      <c r="D82" s="77"/>
      <c r="E82" s="77"/>
      <c r="F82" s="77"/>
      <c r="G82" s="77"/>
      <c r="H82" s="77"/>
      <c r="I82" s="77"/>
      <c r="J82" s="77"/>
      <c r="K82" s="77"/>
    </row>
    <row r="83" spans="1:11" ht="15.75" customHeight="1">
      <c r="A83" s="77"/>
      <c r="B83" s="77"/>
      <c r="C83" s="77"/>
      <c r="D83" s="77"/>
      <c r="E83" s="77"/>
      <c r="F83" s="77"/>
      <c r="G83" s="77"/>
      <c r="H83" s="77"/>
      <c r="I83" s="77"/>
      <c r="J83" s="77"/>
      <c r="K83" s="77"/>
    </row>
    <row r="84" spans="1:11" ht="15.75" customHeight="1">
      <c r="A84" s="77"/>
      <c r="B84" s="77"/>
      <c r="C84" s="77"/>
      <c r="D84" s="77"/>
      <c r="E84" s="77"/>
      <c r="F84" s="77"/>
      <c r="G84" s="77"/>
      <c r="H84" s="77"/>
      <c r="I84" s="77"/>
      <c r="J84" s="77"/>
      <c r="K84" s="77"/>
    </row>
    <row r="85" spans="1:11" ht="15.75" customHeight="1">
      <c r="A85" s="77"/>
      <c r="B85" s="77"/>
      <c r="C85" s="77"/>
      <c r="D85" s="77"/>
      <c r="E85" s="77"/>
      <c r="F85" s="77"/>
      <c r="G85" s="77"/>
      <c r="H85" s="77"/>
      <c r="I85" s="77"/>
      <c r="J85" s="77"/>
      <c r="K85" s="77"/>
    </row>
    <row r="86" spans="1:11" ht="15.75" customHeight="1">
      <c r="A86" s="77"/>
      <c r="B86" s="77"/>
      <c r="C86" s="77"/>
      <c r="D86" s="77"/>
      <c r="E86" s="77"/>
      <c r="F86" s="77"/>
      <c r="G86" s="77"/>
      <c r="H86" s="77"/>
      <c r="I86" s="77"/>
      <c r="J86" s="77"/>
      <c r="K86" s="77"/>
    </row>
    <row r="87" spans="1:11" ht="15.75" customHeight="1">
      <c r="A87" s="77"/>
      <c r="B87" s="13"/>
      <c r="C87" s="77"/>
      <c r="D87" s="77"/>
      <c r="E87" s="77"/>
      <c r="F87" s="77"/>
      <c r="G87" s="77"/>
      <c r="H87" s="77"/>
      <c r="I87" s="77"/>
      <c r="J87" s="77"/>
      <c r="K87" s="77"/>
    </row>
    <row r="88" spans="1:11" s="79" customFormat="1" ht="15.75" customHeight="1">
      <c r="A88" s="77"/>
      <c r="B88" s="77"/>
      <c r="C88" s="77"/>
      <c r="D88" s="77"/>
      <c r="E88" s="80"/>
      <c r="F88" s="77"/>
      <c r="G88" s="77"/>
      <c r="H88" s="77"/>
      <c r="I88" s="77"/>
      <c r="J88" s="77"/>
      <c r="K88" s="77"/>
    </row>
    <row r="89" spans="1:11" s="79" customFormat="1" ht="15.75" customHeight="1">
      <c r="A89" s="77"/>
      <c r="B89" s="77"/>
      <c r="C89" s="77"/>
      <c r="D89" s="77"/>
      <c r="E89" s="80"/>
      <c r="F89" s="77"/>
      <c r="G89" s="77"/>
      <c r="H89" s="77"/>
      <c r="I89" s="77"/>
      <c r="J89" s="77"/>
      <c r="K89" s="77"/>
    </row>
    <row r="90" spans="1:11" s="79" customFormat="1" ht="15.75" customHeight="1">
      <c r="A90" s="77"/>
      <c r="B90" s="83" t="s">
        <v>227</v>
      </c>
      <c r="C90" s="83"/>
      <c r="D90" s="83"/>
      <c r="E90" s="83"/>
      <c r="F90" s="83"/>
      <c r="G90" s="83"/>
      <c r="H90" s="83"/>
      <c r="I90" s="83"/>
      <c r="J90" s="83"/>
      <c r="K90" s="83"/>
    </row>
    <row r="91" spans="1:11" s="79" customFormat="1" ht="27.75" customHeight="1">
      <c r="A91" s="77"/>
      <c r="B91" s="7" t="s">
        <v>218</v>
      </c>
      <c r="C91" s="7" t="s">
        <v>77</v>
      </c>
      <c r="D91" s="9" t="s">
        <v>219</v>
      </c>
      <c r="E91" s="9" t="s">
        <v>208</v>
      </c>
      <c r="F91" s="9" t="s">
        <v>221</v>
      </c>
      <c r="G91" s="9" t="s">
        <v>222</v>
      </c>
      <c r="H91" s="9" t="s">
        <v>223</v>
      </c>
      <c r="I91" s="7" t="s">
        <v>224</v>
      </c>
      <c r="J91" s="7" t="s">
        <v>213</v>
      </c>
      <c r="K91" s="7" t="s">
        <v>214</v>
      </c>
    </row>
    <row r="92" spans="1:11" s="79" customFormat="1" ht="15.75" customHeight="1">
      <c r="A92" s="77"/>
      <c r="B92" s="7" t="s">
        <v>90</v>
      </c>
      <c r="C92" s="8">
        <v>1.5</v>
      </c>
      <c r="D92" s="9">
        <v>0</v>
      </c>
      <c r="E92" s="9">
        <v>0</v>
      </c>
      <c r="F92" s="9">
        <v>0</v>
      </c>
      <c r="G92" s="9">
        <v>1</v>
      </c>
      <c r="H92" s="9">
        <v>0.5</v>
      </c>
      <c r="I92" s="7">
        <v>0.5</v>
      </c>
      <c r="J92" s="7">
        <v>0</v>
      </c>
      <c r="K92" s="66">
        <f>SUM(D92:J92)</f>
        <v>2</v>
      </c>
    </row>
    <row r="93" spans="1:11" s="79" customFormat="1" ht="15.75" customHeight="1">
      <c r="A93" s="77"/>
      <c r="B93" s="7" t="s">
        <v>93</v>
      </c>
      <c r="C93" s="8">
        <v>4</v>
      </c>
      <c r="D93" s="9">
        <v>2</v>
      </c>
      <c r="E93" s="9">
        <v>1</v>
      </c>
      <c r="F93" s="9">
        <v>2</v>
      </c>
      <c r="G93" s="9">
        <v>0</v>
      </c>
      <c r="H93" s="9">
        <v>0</v>
      </c>
      <c r="I93" s="7">
        <v>0</v>
      </c>
      <c r="J93" s="7">
        <v>0</v>
      </c>
      <c r="K93" s="66">
        <f>SUM(D93:J93)</f>
        <v>5</v>
      </c>
    </row>
    <row r="94" spans="1:11" s="79" customFormat="1" ht="15.75" customHeight="1">
      <c r="A94" s="77"/>
      <c r="B94" s="7" t="s">
        <v>95</v>
      </c>
      <c r="C94" s="8">
        <v>1</v>
      </c>
      <c r="D94" s="9">
        <v>3</v>
      </c>
      <c r="E94" s="9">
        <v>0</v>
      </c>
      <c r="F94" s="9">
        <v>0</v>
      </c>
      <c r="G94" s="9">
        <v>0</v>
      </c>
      <c r="H94" s="9">
        <v>0</v>
      </c>
      <c r="I94" s="7">
        <v>0</v>
      </c>
      <c r="J94" s="7">
        <v>0</v>
      </c>
      <c r="K94" s="66">
        <f>SUM(D94:J94)</f>
        <v>3</v>
      </c>
    </row>
    <row r="95" spans="1:11" s="79" customFormat="1" ht="15.75" customHeight="1">
      <c r="A95" s="77"/>
      <c r="B95" s="7" t="s">
        <v>97</v>
      </c>
      <c r="C95" s="8">
        <v>2.5</v>
      </c>
      <c r="D95" s="9">
        <v>2</v>
      </c>
      <c r="E95" s="9">
        <v>1</v>
      </c>
      <c r="F95" s="9">
        <v>1</v>
      </c>
      <c r="G95" s="9">
        <v>0</v>
      </c>
      <c r="H95" s="9">
        <v>0</v>
      </c>
      <c r="I95" s="7">
        <v>0</v>
      </c>
      <c r="J95" s="12">
        <v>0</v>
      </c>
      <c r="K95" s="66">
        <f>SUM(D95:J95)</f>
        <v>4</v>
      </c>
    </row>
    <row r="96" spans="1:11" s="79" customFormat="1" ht="29.25" customHeight="1">
      <c r="A96" s="77"/>
      <c r="B96" s="70" t="s">
        <v>215</v>
      </c>
      <c r="C96" s="50">
        <f>SUM(C91:C95)</f>
        <v>9</v>
      </c>
      <c r="D96" s="50">
        <f>SUM(D91:D95)</f>
        <v>7</v>
      </c>
      <c r="E96" s="50">
        <f>SUM(E91:E95)</f>
        <v>2</v>
      </c>
      <c r="F96" s="50">
        <f>SUM(F91:F95)</f>
        <v>3</v>
      </c>
      <c r="G96" s="50">
        <f>SUM(G91:G95)</f>
        <v>1</v>
      </c>
      <c r="H96" s="50">
        <f>SUM(H91:H95)</f>
        <v>0.5</v>
      </c>
      <c r="I96" s="50">
        <f>SUM(I91:I95)</f>
        <v>0.5</v>
      </c>
      <c r="J96" s="50">
        <f>SUM(J91:J95)</f>
        <v>0</v>
      </c>
      <c r="K96" s="66">
        <f>SUM(D96:J96)</f>
        <v>14</v>
      </c>
    </row>
    <row r="97" spans="1:11" s="79" customFormat="1" ht="27.75" customHeight="1">
      <c r="A97" s="77"/>
      <c r="B97" s="73" t="s">
        <v>216</v>
      </c>
      <c r="C97" s="50">
        <f>SUM(C91:C95)</f>
        <v>9</v>
      </c>
      <c r="D97" s="50">
        <f>C97-(SUM(C91:C95)/7)</f>
        <v>7.7142857142857144</v>
      </c>
      <c r="E97" s="50">
        <f>D97-(SUM(C91:C95)/7)</f>
        <v>6.4285714285714288</v>
      </c>
      <c r="F97" s="50">
        <f>E97-(SUM(C91:C95)/7)</f>
        <v>5.1428571428571432</v>
      </c>
      <c r="G97" s="50">
        <f>F97-(SUM(C91:C95)/7)</f>
        <v>3.8571428571428577</v>
      </c>
      <c r="H97" s="50">
        <f>G97-(SUM(C91:C95)/7)</f>
        <v>2.5714285714285721</v>
      </c>
      <c r="I97" s="50">
        <f>H97-(SUM(C91:C95)/7)</f>
        <v>1.2857142857142863</v>
      </c>
      <c r="J97" s="50">
        <f>I97-(SUM(C91:C95)/7)</f>
        <v>0</v>
      </c>
      <c r="K97" s="5" t="s">
        <v>218</v>
      </c>
    </row>
    <row r="98" spans="1:11" s="79" customFormat="1" ht="15.75" customHeight="1">
      <c r="A98" s="77"/>
      <c r="B98" s="77"/>
      <c r="C98" s="77"/>
      <c r="D98" s="77"/>
      <c r="E98" s="77"/>
      <c r="F98" s="77"/>
      <c r="G98" s="77"/>
      <c r="H98" s="77"/>
      <c r="I98" s="77"/>
      <c r="J98" s="77"/>
      <c r="K98" s="77"/>
    </row>
    <row r="99" spans="1:11" s="79" customFormat="1" ht="15.75" customHeight="1">
      <c r="A99" s="77"/>
      <c r="B99" s="77"/>
      <c r="C99" s="77"/>
      <c r="D99" s="77"/>
      <c r="E99" s="77"/>
      <c r="F99" s="77"/>
      <c r="G99" s="77"/>
      <c r="H99" s="77"/>
      <c r="I99" s="77"/>
      <c r="J99" s="77"/>
      <c r="K99" s="77"/>
    </row>
    <row r="100" spans="1:11" s="79" customFormat="1" ht="15.75" customHeight="1">
      <c r="A100" s="77"/>
      <c r="B100" s="77"/>
      <c r="C100" s="77"/>
      <c r="D100" s="77"/>
      <c r="E100" s="77"/>
      <c r="F100" s="77"/>
      <c r="G100" s="77"/>
      <c r="H100" s="77"/>
      <c r="I100" s="77"/>
      <c r="J100" s="77"/>
      <c r="K100" s="77"/>
    </row>
    <row r="101" spans="1:11" s="79" customFormat="1" ht="15.75" customHeight="1">
      <c r="A101" s="77"/>
      <c r="B101" s="77"/>
      <c r="C101" s="77"/>
      <c r="D101" s="77"/>
      <c r="E101" s="77"/>
      <c r="F101" s="77"/>
      <c r="G101" s="77"/>
      <c r="H101" s="77"/>
      <c r="I101" s="77"/>
      <c r="J101" s="77"/>
      <c r="K101" s="77"/>
    </row>
    <row r="102" spans="1:11" s="79" customFormat="1" ht="15.75" customHeight="1">
      <c r="A102" s="77"/>
      <c r="B102" s="77"/>
      <c r="C102" s="77"/>
      <c r="D102" s="77"/>
      <c r="E102" s="77"/>
      <c r="F102" s="77"/>
      <c r="G102" s="77"/>
      <c r="H102" s="77"/>
      <c r="I102" s="77"/>
      <c r="J102" s="77"/>
      <c r="K102" s="77"/>
    </row>
    <row r="103" spans="1:11" s="79" customFormat="1" ht="15.75" customHeight="1">
      <c r="A103" s="77"/>
      <c r="B103" s="77"/>
      <c r="C103" s="77"/>
      <c r="D103" s="77"/>
      <c r="E103" s="77"/>
      <c r="F103" s="77"/>
      <c r="G103" s="77"/>
      <c r="H103" s="77"/>
      <c r="I103" s="77"/>
      <c r="J103" s="77"/>
      <c r="K103" s="77"/>
    </row>
    <row r="104" spans="1:11" s="79" customFormat="1" ht="15.75" customHeight="1">
      <c r="A104" s="77"/>
      <c r="B104" s="77"/>
      <c r="C104" s="77"/>
      <c r="D104" s="77"/>
      <c r="E104" s="77"/>
      <c r="F104" s="77"/>
      <c r="G104" s="77"/>
      <c r="H104" s="77"/>
      <c r="I104" s="77"/>
      <c r="J104" s="77"/>
      <c r="K104" s="77"/>
    </row>
    <row r="105" spans="1:11" s="79" customFormat="1" ht="15.75" customHeight="1">
      <c r="A105" s="77"/>
      <c r="B105" s="77"/>
      <c r="C105" s="77"/>
      <c r="D105" s="77"/>
      <c r="E105" s="77"/>
      <c r="F105" s="77"/>
      <c r="G105" s="77"/>
      <c r="H105" s="77"/>
      <c r="I105" s="77"/>
      <c r="J105" s="77"/>
      <c r="K105" s="77"/>
    </row>
    <row r="106" spans="1:11" s="79" customFormat="1" ht="15.75" customHeight="1">
      <c r="A106" s="77"/>
      <c r="B106" s="77"/>
      <c r="C106" s="77"/>
      <c r="D106" s="77"/>
      <c r="E106" s="77"/>
      <c r="F106" s="77"/>
      <c r="G106" s="77"/>
      <c r="H106" s="77"/>
      <c r="I106" s="77"/>
      <c r="J106" s="77"/>
      <c r="K106" s="77"/>
    </row>
    <row r="107" spans="1:11" s="79" customFormat="1" ht="15.75" customHeight="1">
      <c r="A107" s="77"/>
      <c r="B107" s="77"/>
      <c r="C107" s="77"/>
      <c r="D107" s="77"/>
      <c r="E107" s="77"/>
      <c r="F107" s="77"/>
      <c r="G107" s="77"/>
      <c r="H107" s="77"/>
      <c r="I107" s="77"/>
      <c r="J107" s="77"/>
      <c r="K107" s="77"/>
    </row>
    <row r="108" spans="1:11" s="79" customFormat="1" ht="15.75" customHeight="1">
      <c r="A108" s="77"/>
      <c r="B108" s="77"/>
      <c r="C108" s="77"/>
      <c r="D108" s="77"/>
      <c r="E108" s="77"/>
      <c r="F108" s="77"/>
      <c r="G108" s="77"/>
      <c r="H108" s="77"/>
      <c r="I108" s="77"/>
      <c r="J108" s="77"/>
      <c r="K108" s="77"/>
    </row>
    <row r="109" spans="1:11" s="79" customFormat="1" ht="15.75" customHeight="1">
      <c r="A109" s="77"/>
      <c r="B109" s="77"/>
      <c r="C109" s="77"/>
      <c r="D109" s="77"/>
      <c r="E109" s="77"/>
      <c r="F109" s="77"/>
      <c r="G109" s="77"/>
      <c r="H109" s="77"/>
      <c r="I109" s="77"/>
      <c r="J109" s="77"/>
      <c r="K109" s="77"/>
    </row>
    <row r="110" spans="1:11" s="79" customFormat="1" ht="15.75" customHeight="1">
      <c r="A110" s="77"/>
      <c r="B110" s="77"/>
      <c r="C110" s="77"/>
      <c r="D110" s="77"/>
      <c r="E110" s="77"/>
      <c r="F110" s="77"/>
      <c r="G110" s="77"/>
      <c r="H110" s="77"/>
      <c r="I110" s="77"/>
      <c r="J110" s="77"/>
      <c r="K110" s="77"/>
    </row>
    <row r="111" spans="1:11" s="79" customFormat="1" ht="15.75" customHeight="1">
      <c r="A111" s="77"/>
      <c r="B111" s="77"/>
      <c r="C111" s="77"/>
      <c r="D111" s="77"/>
      <c r="E111" s="77"/>
      <c r="F111" s="77"/>
      <c r="G111" s="77"/>
      <c r="H111" s="77"/>
      <c r="I111" s="77"/>
      <c r="J111" s="77"/>
      <c r="K111" s="77"/>
    </row>
    <row r="112" spans="1:11" s="79" customFormat="1" ht="15.75" customHeight="1">
      <c r="A112" s="77"/>
      <c r="B112" s="77"/>
      <c r="C112" s="77"/>
      <c r="D112" s="77"/>
      <c r="E112" s="77"/>
      <c r="F112" s="77"/>
      <c r="G112" s="77"/>
      <c r="H112" s="77"/>
      <c r="I112" s="77"/>
      <c r="J112" s="77"/>
      <c r="K112" s="77"/>
    </row>
    <row r="113" spans="1:11" s="79" customFormat="1" ht="15.75" customHeight="1">
      <c r="A113" s="77"/>
      <c r="B113" s="77"/>
      <c r="C113" s="77"/>
      <c r="D113" s="77"/>
      <c r="E113" s="77"/>
      <c r="F113" s="77"/>
      <c r="G113" s="77"/>
      <c r="H113" s="77"/>
      <c r="I113" s="77"/>
      <c r="J113" s="77"/>
      <c r="K113" s="77"/>
    </row>
    <row r="114" spans="1:11" s="79" customFormat="1" ht="15.75" customHeight="1">
      <c r="A114" s="77"/>
      <c r="B114" s="77"/>
      <c r="C114" s="77"/>
      <c r="D114" s="77"/>
      <c r="E114" s="77"/>
      <c r="F114" s="77"/>
      <c r="G114" s="77"/>
      <c r="H114" s="77"/>
      <c r="I114" s="77"/>
      <c r="J114" s="77"/>
      <c r="K114" s="77"/>
    </row>
    <row r="115" spans="1:11" s="79" customFormat="1" ht="15.75" customHeight="1">
      <c r="A115" s="77"/>
      <c r="B115" s="77"/>
      <c r="C115" s="77"/>
      <c r="D115" s="77"/>
      <c r="E115" s="77"/>
      <c r="F115" s="77"/>
      <c r="G115" s="77"/>
      <c r="H115" s="77"/>
      <c r="I115" s="77"/>
      <c r="J115" s="77"/>
      <c r="K115" s="77"/>
    </row>
    <row r="116" spans="1:11" ht="15.75" customHeight="1"/>
    <row r="117" spans="1:11" ht="15.75" customHeight="1">
      <c r="B117" s="13"/>
    </row>
    <row r="118" spans="1:11" ht="15.75" customHeight="1"/>
    <row r="119" spans="1:11" ht="15.75" customHeight="1">
      <c r="B119" s="83" t="s">
        <v>228</v>
      </c>
      <c r="C119" s="83"/>
      <c r="D119" s="83"/>
      <c r="E119" s="83"/>
      <c r="F119" s="83"/>
      <c r="G119" s="83"/>
      <c r="H119" s="83"/>
      <c r="I119" s="83"/>
      <c r="J119" s="83"/>
      <c r="K119" s="83"/>
    </row>
    <row r="120" spans="1:11" ht="25.5" customHeight="1">
      <c r="B120" s="7" t="s">
        <v>218</v>
      </c>
      <c r="C120" s="7" t="s">
        <v>77</v>
      </c>
      <c r="D120" s="9" t="s">
        <v>219</v>
      </c>
      <c r="E120" s="9" t="s">
        <v>220</v>
      </c>
      <c r="F120" s="9" t="s">
        <v>221</v>
      </c>
      <c r="G120" s="9" t="s">
        <v>222</v>
      </c>
      <c r="H120" s="9" t="s">
        <v>223</v>
      </c>
      <c r="I120" s="7" t="s">
        <v>224</v>
      </c>
      <c r="J120" s="7" t="s">
        <v>229</v>
      </c>
      <c r="K120" s="7" t="s">
        <v>214</v>
      </c>
    </row>
    <row r="121" spans="1:11" ht="15.75" customHeight="1">
      <c r="B121" s="7" t="s">
        <v>110</v>
      </c>
      <c r="C121" s="8">
        <v>1</v>
      </c>
      <c r="D121" s="9">
        <v>0</v>
      </c>
      <c r="E121" s="9">
        <v>0</v>
      </c>
      <c r="F121" s="9">
        <v>0</v>
      </c>
      <c r="G121" s="9">
        <v>0</v>
      </c>
      <c r="H121" s="9">
        <v>0</v>
      </c>
      <c r="I121" s="7">
        <v>0</v>
      </c>
      <c r="J121" s="7">
        <v>0</v>
      </c>
      <c r="K121" s="66">
        <f>SUM(D121:J121)</f>
        <v>0</v>
      </c>
    </row>
    <row r="122" spans="1:11" ht="15.75" customHeight="1">
      <c r="B122" s="7" t="s">
        <v>113</v>
      </c>
      <c r="C122" s="8">
        <v>1.5</v>
      </c>
      <c r="D122" s="9">
        <v>0</v>
      </c>
      <c r="E122" s="9">
        <v>1</v>
      </c>
      <c r="F122" s="9">
        <v>2</v>
      </c>
      <c r="G122" s="9">
        <v>0</v>
      </c>
      <c r="H122" s="9">
        <v>0</v>
      </c>
      <c r="I122" s="7">
        <v>0</v>
      </c>
      <c r="J122" s="7">
        <v>0</v>
      </c>
      <c r="K122" s="66">
        <f>SUM(D122:J122)</f>
        <v>3</v>
      </c>
    </row>
    <row r="123" spans="1:11" ht="15.75" customHeight="1">
      <c r="B123" s="7" t="s">
        <v>115</v>
      </c>
      <c r="C123" s="8">
        <v>1</v>
      </c>
      <c r="D123" s="9">
        <v>3</v>
      </c>
      <c r="E123" s="9">
        <v>0</v>
      </c>
      <c r="F123" s="9">
        <v>0</v>
      </c>
      <c r="G123" s="9">
        <v>0</v>
      </c>
      <c r="H123" s="9">
        <v>0</v>
      </c>
      <c r="I123" s="7">
        <v>0</v>
      </c>
      <c r="J123" s="7">
        <v>0</v>
      </c>
      <c r="K123" s="66">
        <f>SUM(D123:J123)</f>
        <v>3</v>
      </c>
    </row>
    <row r="124" spans="1:11" ht="15.75" customHeight="1">
      <c r="B124" s="7" t="s">
        <v>117</v>
      </c>
      <c r="C124" s="8">
        <v>2</v>
      </c>
      <c r="D124" s="9">
        <v>2</v>
      </c>
      <c r="E124" s="9">
        <v>1</v>
      </c>
      <c r="F124" s="9">
        <v>1</v>
      </c>
      <c r="G124" s="9">
        <v>0</v>
      </c>
      <c r="H124" s="9">
        <v>0</v>
      </c>
      <c r="I124" s="7">
        <v>0</v>
      </c>
      <c r="J124" s="12">
        <v>0</v>
      </c>
      <c r="K124" s="66">
        <f>SUM(D124:J124)</f>
        <v>4</v>
      </c>
    </row>
    <row r="125" spans="1:11" ht="15.75" customHeight="1">
      <c r="B125" s="70" t="s">
        <v>215</v>
      </c>
      <c r="C125" s="50">
        <f>SUM(C120:C124)</f>
        <v>5.5</v>
      </c>
      <c r="D125" s="50">
        <f>SUM(D120:D124)</f>
        <v>5</v>
      </c>
      <c r="E125" s="50">
        <f>SUM(E120:E124)</f>
        <v>2</v>
      </c>
      <c r="F125" s="50">
        <f>SUM(F120:F124)</f>
        <v>3</v>
      </c>
      <c r="G125" s="50">
        <f>SUM(G120:G124)</f>
        <v>0</v>
      </c>
      <c r="H125" s="50">
        <f>SUM(H120:H124)</f>
        <v>0</v>
      </c>
      <c r="I125" s="50">
        <f>SUM(I120:I124)</f>
        <v>0</v>
      </c>
      <c r="J125" s="50">
        <f>SUM(J120:J124)</f>
        <v>0</v>
      </c>
      <c r="K125" s="66">
        <f>SUM(D125:J125)</f>
        <v>10</v>
      </c>
    </row>
    <row r="126" spans="1:11" ht="25.5" customHeight="1">
      <c r="B126" s="73" t="s">
        <v>216</v>
      </c>
      <c r="C126" s="50">
        <f>SUM(C120:C124)</f>
        <v>5.5</v>
      </c>
      <c r="D126" s="50">
        <f>C126-(SUM(C120:C124)/7)</f>
        <v>4.7142857142857144</v>
      </c>
      <c r="E126" s="50">
        <f>D126-(SUM(C120:C124)/7)</f>
        <v>3.9285714285714288</v>
      </c>
      <c r="F126" s="50">
        <f>E126-(SUM(C120:C124)/7)</f>
        <v>3.1428571428571432</v>
      </c>
      <c r="G126" s="50">
        <f>F126-(SUM(C120:C124)/7)</f>
        <v>2.3571428571428577</v>
      </c>
      <c r="H126" s="50">
        <f>G126-(SUM(C120:C124)/7)</f>
        <v>1.5714285714285721</v>
      </c>
      <c r="I126" s="50">
        <f>H126-(SUM(C120:C124)/7)</f>
        <v>0.78571428571428636</v>
      </c>
      <c r="J126" s="50">
        <f>I126-(SUM(C120:C124)/7)</f>
        <v>0</v>
      </c>
      <c r="K126" s="5" t="s">
        <v>218</v>
      </c>
    </row>
    <row r="127" spans="1:11" ht="15.75" customHeight="1"/>
    <row r="128" spans="1:11"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7">
    <mergeCell ref="B90:K90"/>
    <mergeCell ref="B119:K119"/>
    <mergeCell ref="B21:E31"/>
    <mergeCell ref="E2:I2"/>
    <mergeCell ref="B4:K4"/>
    <mergeCell ref="B33:K33"/>
    <mergeCell ref="B60:K60"/>
  </mergeCells>
  <pageMargins left="0.7" right="0.7" top="0.75" bottom="0.75" header="0" footer="0"/>
  <pageSetup orientation="landscape" r:id="rId1"/>
  <ignoredErrors>
    <ignoredError sqref="K6:K9"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DFB06-A511-4F17-98F6-F457D7DD2504}">
  <dimension ref="B1:L106"/>
  <sheetViews>
    <sheetView topLeftCell="B107" zoomScale="95" workbookViewId="0">
      <selection activeCell="F5" sqref="F5"/>
    </sheetView>
  </sheetViews>
  <sheetFormatPr defaultColWidth="11.42578125" defaultRowHeight="12.75" customHeight="1"/>
  <cols>
    <col min="2" max="2" width="24.7109375" customWidth="1"/>
    <col min="3" max="10" width="13.140625" customWidth="1"/>
    <col min="11" max="11" width="12.7109375" customWidth="1"/>
    <col min="12" max="12" width="25" customWidth="1"/>
  </cols>
  <sheetData>
    <row r="1" spans="2:12" ht="12.6" customHeight="1">
      <c r="G1" s="85" t="s">
        <v>230</v>
      </c>
      <c r="H1" s="85"/>
      <c r="I1" s="85"/>
      <c r="J1" s="85"/>
      <c r="K1" s="85"/>
    </row>
    <row r="2" spans="2:12">
      <c r="L2" t="s">
        <v>231</v>
      </c>
    </row>
    <row r="3" spans="2:12">
      <c r="B3" s="86" t="s">
        <v>232</v>
      </c>
      <c r="C3" s="86"/>
      <c r="D3" s="86"/>
      <c r="E3" s="86"/>
      <c r="F3" s="86"/>
      <c r="G3" s="86"/>
      <c r="H3" s="86"/>
      <c r="I3" s="86"/>
      <c r="J3" s="86"/>
      <c r="K3" s="86"/>
      <c r="L3">
        <f>SUM(K8,K41,K74,K105)</f>
        <v>29</v>
      </c>
    </row>
    <row r="4" spans="2:12">
      <c r="B4" s="50"/>
      <c r="C4" s="50" t="s">
        <v>77</v>
      </c>
      <c r="D4" s="50" t="s">
        <v>207</v>
      </c>
      <c r="E4" s="50" t="s">
        <v>208</v>
      </c>
      <c r="F4" s="50" t="s">
        <v>209</v>
      </c>
      <c r="G4" s="50" t="s">
        <v>210</v>
      </c>
      <c r="H4" s="50" t="s">
        <v>211</v>
      </c>
      <c r="I4" s="50" t="s">
        <v>212</v>
      </c>
      <c r="J4" s="50" t="s">
        <v>213</v>
      </c>
      <c r="K4" s="50" t="s">
        <v>214</v>
      </c>
    </row>
    <row r="5" spans="2:12">
      <c r="B5" s="61" t="s">
        <v>132</v>
      </c>
      <c r="C5" s="51">
        <v>1</v>
      </c>
      <c r="D5" s="61">
        <v>0</v>
      </c>
      <c r="E5" s="61">
        <v>0</v>
      </c>
      <c r="F5" s="61">
        <v>0</v>
      </c>
      <c r="G5" s="61">
        <v>0</v>
      </c>
      <c r="H5" s="61">
        <v>0</v>
      </c>
      <c r="I5" s="61">
        <v>0</v>
      </c>
      <c r="J5" s="61">
        <v>1</v>
      </c>
      <c r="K5" s="52">
        <f>SUM(D5:J5)</f>
        <v>1</v>
      </c>
    </row>
    <row r="6" spans="2:12">
      <c r="B6" s="61" t="s">
        <v>134</v>
      </c>
      <c r="C6" s="51">
        <v>2</v>
      </c>
      <c r="D6" s="61">
        <v>0</v>
      </c>
      <c r="E6" s="61">
        <v>0</v>
      </c>
      <c r="F6" s="61">
        <v>0</v>
      </c>
      <c r="G6" s="61">
        <v>0</v>
      </c>
      <c r="H6" s="61">
        <v>1</v>
      </c>
      <c r="I6" s="61">
        <v>1</v>
      </c>
      <c r="J6" s="61">
        <v>0</v>
      </c>
      <c r="K6" s="52">
        <f>SUM(D6:J6)</f>
        <v>2</v>
      </c>
    </row>
    <row r="7" spans="2:12">
      <c r="B7" s="61" t="s">
        <v>136</v>
      </c>
      <c r="C7" s="51">
        <v>2</v>
      </c>
      <c r="D7" s="61">
        <v>0</v>
      </c>
      <c r="E7" s="61">
        <v>0</v>
      </c>
      <c r="F7" s="61">
        <v>0.5</v>
      </c>
      <c r="G7" s="61">
        <v>0.5</v>
      </c>
      <c r="H7" s="61">
        <v>1</v>
      </c>
      <c r="I7" s="61">
        <v>0</v>
      </c>
      <c r="J7" s="61">
        <v>0</v>
      </c>
      <c r="K7" s="52">
        <f>SUM(D7:J7)</f>
        <v>2</v>
      </c>
    </row>
    <row r="8" spans="2:12">
      <c r="B8" s="53" t="s">
        <v>215</v>
      </c>
      <c r="C8" s="50">
        <f t="shared" ref="C8:J8" si="0">SUM(C5:C7)</f>
        <v>5</v>
      </c>
      <c r="D8" s="50">
        <f t="shared" si="0"/>
        <v>0</v>
      </c>
      <c r="E8" s="50">
        <f t="shared" si="0"/>
        <v>0</v>
      </c>
      <c r="F8" s="50">
        <f t="shared" si="0"/>
        <v>0.5</v>
      </c>
      <c r="G8" s="50">
        <f t="shared" si="0"/>
        <v>0.5</v>
      </c>
      <c r="H8" s="50">
        <f t="shared" si="0"/>
        <v>2</v>
      </c>
      <c r="I8" s="50">
        <f t="shared" si="0"/>
        <v>1</v>
      </c>
      <c r="J8" s="50">
        <f t="shared" si="0"/>
        <v>1</v>
      </c>
      <c r="K8" s="52">
        <f>SUM(D8:J8)</f>
        <v>5</v>
      </c>
    </row>
    <row r="9" spans="2:12">
      <c r="B9" s="53" t="s">
        <v>216</v>
      </c>
      <c r="C9" s="50">
        <f>SUM(C5:C7)</f>
        <v>5</v>
      </c>
      <c r="D9" s="50">
        <f>C9-(SUM(C5:C7)/7)</f>
        <v>4.2857142857142856</v>
      </c>
      <c r="E9" s="50">
        <f>D9-(SUM(C5:C7)/7)</f>
        <v>3.5714285714285712</v>
      </c>
      <c r="F9" s="50">
        <f>E9-(SUM(C5:C7)/7)</f>
        <v>2.8571428571428568</v>
      </c>
      <c r="G9" s="50">
        <f>F9-(SUM(C5:C7)/7)</f>
        <v>2.1428571428571423</v>
      </c>
      <c r="H9" s="50">
        <f>G9-(SUM(C5:C7)/7)</f>
        <v>1.4285714285714279</v>
      </c>
      <c r="I9" s="50">
        <f>H9-(SUM(C5:C7)/7)</f>
        <v>0.71428571428571364</v>
      </c>
      <c r="J9" s="50">
        <f>I9-(SUM(C5:C7)/7)</f>
        <v>0</v>
      </c>
      <c r="K9" s="54"/>
    </row>
    <row r="35" spans="2:11">
      <c r="B35" s="86" t="s">
        <v>233</v>
      </c>
      <c r="C35" s="86"/>
      <c r="D35" s="86"/>
      <c r="E35" s="86"/>
      <c r="F35" s="86"/>
      <c r="G35" s="86"/>
      <c r="H35" s="86"/>
      <c r="I35" s="86"/>
      <c r="J35" s="86"/>
      <c r="K35" s="86"/>
    </row>
    <row r="36" spans="2:11">
      <c r="B36" s="50"/>
      <c r="C36" s="50" t="s">
        <v>77</v>
      </c>
      <c r="D36" s="50" t="s">
        <v>207</v>
      </c>
      <c r="E36" s="50" t="s">
        <v>208</v>
      </c>
      <c r="F36" s="50" t="s">
        <v>209</v>
      </c>
      <c r="G36" s="50" t="s">
        <v>210</v>
      </c>
      <c r="H36" s="50" t="s">
        <v>211</v>
      </c>
      <c r="I36" s="50" t="s">
        <v>212</v>
      </c>
      <c r="J36" s="50" t="s">
        <v>213</v>
      </c>
      <c r="K36" s="50" t="s">
        <v>214</v>
      </c>
    </row>
    <row r="37" spans="2:11">
      <c r="B37" s="61" t="s">
        <v>138</v>
      </c>
      <c r="C37" s="51">
        <v>1</v>
      </c>
      <c r="D37" s="61">
        <v>0</v>
      </c>
      <c r="E37" s="61">
        <v>0</v>
      </c>
      <c r="F37" s="61">
        <v>0</v>
      </c>
      <c r="G37" s="61">
        <v>0</v>
      </c>
      <c r="H37" s="61">
        <v>0</v>
      </c>
      <c r="I37" s="61">
        <v>0</v>
      </c>
      <c r="J37" s="61">
        <v>1</v>
      </c>
      <c r="K37" s="52">
        <f>SUM(D37:J37)</f>
        <v>1</v>
      </c>
    </row>
    <row r="38" spans="2:11">
      <c r="B38" s="61" t="s">
        <v>140</v>
      </c>
      <c r="C38" s="51">
        <v>2</v>
      </c>
      <c r="D38" s="61">
        <v>0</v>
      </c>
      <c r="E38" s="61">
        <v>0</v>
      </c>
      <c r="F38" s="61">
        <v>0</v>
      </c>
      <c r="G38" s="61">
        <v>0</v>
      </c>
      <c r="H38" s="61">
        <v>0</v>
      </c>
      <c r="I38" s="61">
        <v>1</v>
      </c>
      <c r="J38" s="61">
        <v>1</v>
      </c>
      <c r="K38" s="52">
        <f>SUM(D38:J38)</f>
        <v>2</v>
      </c>
    </row>
    <row r="39" spans="2:11">
      <c r="B39" s="61" t="s">
        <v>142</v>
      </c>
      <c r="C39" s="51">
        <v>1</v>
      </c>
      <c r="D39" s="61">
        <v>0</v>
      </c>
      <c r="E39" s="61">
        <v>0</v>
      </c>
      <c r="F39" s="61">
        <v>0</v>
      </c>
      <c r="G39" s="61">
        <v>0</v>
      </c>
      <c r="H39" s="61">
        <v>0</v>
      </c>
      <c r="I39" s="61">
        <v>1</v>
      </c>
      <c r="J39" s="61">
        <v>0</v>
      </c>
      <c r="K39" s="52">
        <f>SUM(D39:J39)</f>
        <v>1</v>
      </c>
    </row>
    <row r="40" spans="2:11">
      <c r="B40" s="61" t="s">
        <v>144</v>
      </c>
      <c r="C40" s="51">
        <v>1</v>
      </c>
      <c r="D40" s="61">
        <v>0</v>
      </c>
      <c r="E40" s="61">
        <v>0</v>
      </c>
      <c r="F40" s="61">
        <v>0</v>
      </c>
      <c r="G40" s="61">
        <v>0</v>
      </c>
      <c r="H40" s="61">
        <v>1</v>
      </c>
      <c r="I40" s="61">
        <v>0</v>
      </c>
      <c r="J40" s="61">
        <v>0</v>
      </c>
      <c r="K40" s="66">
        <f>SUM(D40:J40)</f>
        <v>1</v>
      </c>
    </row>
    <row r="41" spans="2:11">
      <c r="B41" s="53" t="s">
        <v>215</v>
      </c>
      <c r="C41" s="50">
        <f t="shared" ref="C41:J41" si="1">SUM(C37:C39)</f>
        <v>4</v>
      </c>
      <c r="D41" s="50">
        <f t="shared" si="1"/>
        <v>0</v>
      </c>
      <c r="E41" s="50">
        <f t="shared" si="1"/>
        <v>0</v>
      </c>
      <c r="F41" s="50">
        <f t="shared" si="1"/>
        <v>0</v>
      </c>
      <c r="G41" s="50">
        <f t="shared" si="1"/>
        <v>0</v>
      </c>
      <c r="H41" s="50">
        <f t="shared" si="1"/>
        <v>0</v>
      </c>
      <c r="I41" s="50">
        <f t="shared" si="1"/>
        <v>2</v>
      </c>
      <c r="J41" s="50">
        <f t="shared" si="1"/>
        <v>2</v>
      </c>
      <c r="K41" s="52">
        <f>SUM(D41:J41)</f>
        <v>4</v>
      </c>
    </row>
    <row r="42" spans="2:11">
      <c r="B42" s="53" t="s">
        <v>216</v>
      </c>
      <c r="C42" s="50">
        <f>SUM(C37:C39)</f>
        <v>4</v>
      </c>
      <c r="D42" s="50">
        <f>C42-(SUM(C37:C39)/7)</f>
        <v>3.4285714285714288</v>
      </c>
      <c r="E42" s="50">
        <f>D42-(SUM(C37:C39)/7)</f>
        <v>2.8571428571428577</v>
      </c>
      <c r="F42" s="50">
        <f>E42-(SUM(C37:C39)/7)</f>
        <v>2.2857142857142865</v>
      </c>
      <c r="G42" s="50">
        <f>F42-(SUM(C37:C39)/7)</f>
        <v>1.7142857142857151</v>
      </c>
      <c r="H42" s="50">
        <f>G42-(SUM(C37:C39)/7)</f>
        <v>1.1428571428571437</v>
      </c>
      <c r="I42" s="50">
        <f>H42-(SUM(C37:C39)/7)</f>
        <v>0.57142857142857229</v>
      </c>
      <c r="J42" s="50">
        <f>I42-(SUM(C37:C39)/7)</f>
        <v>8.8817841970012523E-16</v>
      </c>
      <c r="K42" s="54"/>
    </row>
    <row r="67" spans="2:11">
      <c r="B67" s="86" t="s">
        <v>234</v>
      </c>
      <c r="C67" s="86"/>
      <c r="D67" s="86"/>
      <c r="E67" s="86"/>
      <c r="F67" s="86"/>
      <c r="G67" s="86"/>
      <c r="H67" s="86"/>
      <c r="I67" s="86"/>
      <c r="J67" s="86"/>
      <c r="K67" s="86"/>
    </row>
    <row r="68" spans="2:11">
      <c r="B68" s="50"/>
      <c r="C68" s="50" t="s">
        <v>77</v>
      </c>
      <c r="D68" s="50" t="s">
        <v>207</v>
      </c>
      <c r="E68" s="50" t="s">
        <v>208</v>
      </c>
      <c r="F68" s="50" t="s">
        <v>209</v>
      </c>
      <c r="G68" s="50" t="s">
        <v>210</v>
      </c>
      <c r="H68" s="50" t="s">
        <v>211</v>
      </c>
      <c r="I68" s="50" t="s">
        <v>212</v>
      </c>
      <c r="J68" s="50" t="s">
        <v>213</v>
      </c>
      <c r="K68" s="50" t="s">
        <v>214</v>
      </c>
    </row>
    <row r="69" spans="2:11">
      <c r="B69" s="61" t="s">
        <v>146</v>
      </c>
      <c r="C69" s="51">
        <v>3</v>
      </c>
      <c r="D69" s="61">
        <v>0</v>
      </c>
      <c r="E69" s="61">
        <v>0</v>
      </c>
      <c r="F69" s="61">
        <v>1</v>
      </c>
      <c r="G69" s="61">
        <v>1</v>
      </c>
      <c r="H69" s="61">
        <v>0</v>
      </c>
      <c r="I69" s="61">
        <v>0</v>
      </c>
      <c r="J69" s="61">
        <v>0</v>
      </c>
      <c r="K69" s="52">
        <f>SUM(D69:J69)</f>
        <v>2</v>
      </c>
    </row>
    <row r="70" spans="2:11">
      <c r="B70" s="61" t="s">
        <v>148</v>
      </c>
      <c r="C70" s="51">
        <v>2</v>
      </c>
      <c r="D70" s="61">
        <v>1</v>
      </c>
      <c r="E70" s="61">
        <v>1</v>
      </c>
      <c r="F70" s="61">
        <v>1</v>
      </c>
      <c r="G70" s="61">
        <v>1</v>
      </c>
      <c r="H70" s="61">
        <v>1</v>
      </c>
      <c r="I70" s="61">
        <v>1</v>
      </c>
      <c r="J70" s="61">
        <v>0</v>
      </c>
      <c r="K70" s="52">
        <f>SUM(D70:J70)</f>
        <v>6</v>
      </c>
    </row>
    <row r="71" spans="2:11">
      <c r="B71" s="61" t="s">
        <v>150</v>
      </c>
      <c r="C71" s="51">
        <v>1.5</v>
      </c>
      <c r="D71" s="61">
        <v>0</v>
      </c>
      <c r="E71" s="61">
        <v>0</v>
      </c>
      <c r="F71" s="61">
        <v>0.5</v>
      </c>
      <c r="G71" s="61">
        <v>1</v>
      </c>
      <c r="H71" s="61">
        <v>0.5</v>
      </c>
      <c r="I71" s="61">
        <v>0</v>
      </c>
      <c r="J71" s="61">
        <v>0</v>
      </c>
      <c r="K71" s="52">
        <f>SUM(D71:J71)</f>
        <v>2</v>
      </c>
    </row>
    <row r="72" spans="2:11">
      <c r="B72" s="61" t="s">
        <v>152</v>
      </c>
      <c r="C72" s="51">
        <v>2.5</v>
      </c>
      <c r="D72" s="61">
        <v>0</v>
      </c>
      <c r="E72" s="61">
        <v>0.5</v>
      </c>
      <c r="F72" s="61">
        <v>0</v>
      </c>
      <c r="G72" s="61">
        <v>0</v>
      </c>
      <c r="H72" s="61">
        <v>0</v>
      </c>
      <c r="I72" s="61">
        <v>0</v>
      </c>
      <c r="J72" s="61">
        <v>0</v>
      </c>
      <c r="K72" s="52">
        <f>SUM(D72:J72)</f>
        <v>0.5</v>
      </c>
    </row>
    <row r="73" spans="2:11">
      <c r="B73" s="61" t="s">
        <v>154</v>
      </c>
      <c r="C73" s="51">
        <v>0.5</v>
      </c>
      <c r="D73" s="61">
        <v>0.5</v>
      </c>
      <c r="E73" s="61">
        <v>0.5</v>
      </c>
      <c r="F73" s="61">
        <v>0</v>
      </c>
      <c r="G73" s="61">
        <v>0</v>
      </c>
      <c r="H73" s="61">
        <v>0</v>
      </c>
      <c r="I73" s="61">
        <v>0</v>
      </c>
      <c r="J73" s="61">
        <v>0</v>
      </c>
      <c r="K73" s="52">
        <f>SUM(D73:J73)</f>
        <v>1</v>
      </c>
    </row>
    <row r="74" spans="2:11">
      <c r="B74" s="53" t="s">
        <v>215</v>
      </c>
      <c r="C74" s="50">
        <f>SUM(C69:C73)</f>
        <v>9.5</v>
      </c>
      <c r="D74" s="50">
        <f t="shared" ref="D74:J74" si="2">SUM(D69:D73)</f>
        <v>1.5</v>
      </c>
      <c r="E74" s="50">
        <f t="shared" si="2"/>
        <v>2</v>
      </c>
      <c r="F74" s="50">
        <f t="shared" si="2"/>
        <v>2.5</v>
      </c>
      <c r="G74" s="50">
        <f t="shared" si="2"/>
        <v>3</v>
      </c>
      <c r="H74" s="50">
        <f t="shared" si="2"/>
        <v>1.5</v>
      </c>
      <c r="I74" s="50">
        <f t="shared" si="2"/>
        <v>1</v>
      </c>
      <c r="J74" s="50">
        <f t="shared" si="2"/>
        <v>0</v>
      </c>
      <c r="K74" s="52">
        <f>SUM(D74:J74)</f>
        <v>11.5</v>
      </c>
    </row>
    <row r="75" spans="2:11">
      <c r="B75" s="53" t="s">
        <v>216</v>
      </c>
      <c r="C75" s="50">
        <f>SUM(C69:C73)</f>
        <v>9.5</v>
      </c>
      <c r="D75" s="50">
        <f>C75-(SUM(C69:C73)/7)</f>
        <v>8.1428571428571423</v>
      </c>
      <c r="E75" s="50">
        <f>D75-(SUM(C69:C73)/7)</f>
        <v>6.7857142857142847</v>
      </c>
      <c r="F75" s="50">
        <f>E75-(SUM(C69:C73)/7)</f>
        <v>5.428571428571427</v>
      </c>
      <c r="G75" s="50">
        <f>F75-(SUM(C69:C73)/7)</f>
        <v>4.0714285714285694</v>
      </c>
      <c r="H75" s="50">
        <f>G75-(SUM(C69:C73)/7)</f>
        <v>2.7142857142857122</v>
      </c>
      <c r="I75" s="50">
        <f>H75-(SUM(C69:C73)/7)</f>
        <v>1.357142857142855</v>
      </c>
      <c r="J75" s="50">
        <f>I75-(SUM(C69:C73)/7)</f>
        <v>-2.2204460492503131E-15</v>
      </c>
      <c r="K75" s="54"/>
    </row>
    <row r="100" spans="2:11">
      <c r="B100" s="86" t="s">
        <v>235</v>
      </c>
      <c r="C100" s="86"/>
      <c r="D100" s="86"/>
      <c r="E100" s="86"/>
      <c r="F100" s="86"/>
      <c r="G100" s="86"/>
      <c r="H100" s="86"/>
      <c r="I100" s="86"/>
      <c r="J100" s="86"/>
      <c r="K100" s="86"/>
    </row>
    <row r="101" spans="2:11">
      <c r="B101" s="50"/>
      <c r="C101" s="50" t="s">
        <v>77</v>
      </c>
      <c r="D101" s="50" t="s">
        <v>207</v>
      </c>
      <c r="E101" s="50" t="s">
        <v>208</v>
      </c>
      <c r="F101" s="50" t="s">
        <v>209</v>
      </c>
      <c r="G101" s="50" t="s">
        <v>210</v>
      </c>
      <c r="H101" s="50" t="s">
        <v>211</v>
      </c>
      <c r="I101" s="50" t="s">
        <v>212</v>
      </c>
      <c r="J101" s="50" t="s">
        <v>213</v>
      </c>
      <c r="K101" s="50" t="s">
        <v>214</v>
      </c>
    </row>
    <row r="102" spans="2:11">
      <c r="B102" s="61" t="s">
        <v>156</v>
      </c>
      <c r="C102" s="51">
        <v>2</v>
      </c>
      <c r="D102" s="61">
        <v>0</v>
      </c>
      <c r="E102" s="61">
        <v>0</v>
      </c>
      <c r="F102" s="61">
        <v>0</v>
      </c>
      <c r="G102" s="61">
        <v>0</v>
      </c>
      <c r="H102" s="61">
        <v>1</v>
      </c>
      <c r="I102" s="61">
        <v>0</v>
      </c>
      <c r="J102" s="61">
        <v>1</v>
      </c>
      <c r="K102" s="52">
        <f>SUM(D102:J102)</f>
        <v>2</v>
      </c>
    </row>
    <row r="103" spans="2:11">
      <c r="B103" s="61" t="s">
        <v>159</v>
      </c>
      <c r="C103" s="51">
        <v>2</v>
      </c>
      <c r="D103" s="61">
        <v>0.5</v>
      </c>
      <c r="E103" s="61">
        <v>0</v>
      </c>
      <c r="F103" s="61">
        <v>0</v>
      </c>
      <c r="G103" s="61">
        <v>1</v>
      </c>
      <c r="H103" s="61">
        <v>0</v>
      </c>
      <c r="I103" s="61">
        <v>1</v>
      </c>
      <c r="J103" s="61">
        <v>0</v>
      </c>
      <c r="K103" s="52">
        <f>SUM(D103:J103)</f>
        <v>2.5</v>
      </c>
    </row>
    <row r="104" spans="2:11">
      <c r="B104" s="61" t="s">
        <v>161</v>
      </c>
      <c r="C104" s="51">
        <v>3</v>
      </c>
      <c r="D104" s="61">
        <v>1</v>
      </c>
      <c r="E104" s="61">
        <v>1</v>
      </c>
      <c r="F104" s="61">
        <v>1</v>
      </c>
      <c r="G104" s="61">
        <v>1</v>
      </c>
      <c r="H104" s="61">
        <v>0</v>
      </c>
      <c r="I104" s="61">
        <v>0</v>
      </c>
      <c r="J104" s="61">
        <v>0</v>
      </c>
      <c r="K104" s="52">
        <f>SUM(D104:J104)</f>
        <v>4</v>
      </c>
    </row>
    <row r="105" spans="2:11">
      <c r="B105" s="53" t="s">
        <v>215</v>
      </c>
      <c r="C105" s="50">
        <f>SUM(C102:C104)</f>
        <v>7</v>
      </c>
      <c r="D105" s="50">
        <f t="shared" ref="D105" si="3">SUM(D100:D104)</f>
        <v>1.5</v>
      </c>
      <c r="E105" s="50">
        <f>SUM(E102:E104)</f>
        <v>1</v>
      </c>
      <c r="F105" s="50">
        <f>SUM(F102:F104)</f>
        <v>1</v>
      </c>
      <c r="G105" s="50">
        <f>SUM(G102:G104)</f>
        <v>2</v>
      </c>
      <c r="H105" s="50">
        <f>SUM(H102:H104)</f>
        <v>1</v>
      </c>
      <c r="I105" s="50">
        <f>SUM(I102:I104)</f>
        <v>1</v>
      </c>
      <c r="J105" s="50">
        <f>SUM(J102:J104)</f>
        <v>1</v>
      </c>
      <c r="K105" s="52">
        <f>SUM(D105:J105)</f>
        <v>8.5</v>
      </c>
    </row>
    <row r="106" spans="2:11">
      <c r="B106" s="53" t="s">
        <v>216</v>
      </c>
      <c r="C106" s="50">
        <f>SUM(C102:C104)</f>
        <v>7</v>
      </c>
      <c r="D106" s="50">
        <f>C106-(SUM(C102:C104)/7)</f>
        <v>6</v>
      </c>
      <c r="E106" s="50">
        <f>D106-(SUM(C102:C104)/7)</f>
        <v>5</v>
      </c>
      <c r="F106" s="50">
        <f>E106-(SUM(C102:C104)/7)</f>
        <v>4</v>
      </c>
      <c r="G106" s="50">
        <f>F106-(SUM(C102:C104)/7)</f>
        <v>3</v>
      </c>
      <c r="H106" s="50">
        <f>G106-(SUM(C102:C104)/7)</f>
        <v>2</v>
      </c>
      <c r="I106" s="50">
        <f>H106-(SUM(C102:C104)/7)</f>
        <v>1</v>
      </c>
      <c r="J106" s="50">
        <f>I106-(SUM(C102:C104)/7)</f>
        <v>0</v>
      </c>
      <c r="K106" s="54"/>
    </row>
  </sheetData>
  <mergeCells count="5">
    <mergeCell ref="B3:K3"/>
    <mergeCell ref="B35:K35"/>
    <mergeCell ref="B67:K67"/>
    <mergeCell ref="B100:K100"/>
    <mergeCell ref="G1:K1"/>
  </mergeCells>
  <phoneticPr fontId="1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A4FAA-B743-4D25-B7F5-2F06CCD5F531}">
  <dimension ref="B2:L153"/>
  <sheetViews>
    <sheetView topLeftCell="A57" workbookViewId="0">
      <selection activeCell="L5" sqref="L5"/>
    </sheetView>
  </sheetViews>
  <sheetFormatPr defaultColWidth="11.42578125" defaultRowHeight="12.6"/>
  <cols>
    <col min="2" max="2" width="24.85546875" customWidth="1"/>
    <col min="3" max="4" width="8.85546875" bestFit="1" customWidth="1"/>
    <col min="8" max="8" width="10.5703125" customWidth="1"/>
    <col min="9" max="9" width="15.28515625" customWidth="1"/>
    <col min="10" max="10" width="10.7109375" customWidth="1"/>
    <col min="11" max="11" width="20.140625" customWidth="1"/>
    <col min="12" max="12" width="18.7109375" customWidth="1"/>
  </cols>
  <sheetData>
    <row r="2" spans="2:12" ht="12.6" customHeight="1">
      <c r="G2" s="85" t="s">
        <v>236</v>
      </c>
      <c r="H2" s="85"/>
      <c r="I2" s="85"/>
      <c r="J2" s="85"/>
      <c r="K2" s="85"/>
    </row>
    <row r="3" spans="2:12">
      <c r="L3" t="s">
        <v>237</v>
      </c>
    </row>
    <row r="4" spans="2:12">
      <c r="L4">
        <f>SUM(K12,K49,K110,K145)</f>
        <v>26.900000000000002</v>
      </c>
    </row>
    <row r="5" spans="2:12">
      <c r="B5" s="96" t="s">
        <v>238</v>
      </c>
      <c r="C5" s="96"/>
      <c r="D5" s="96"/>
      <c r="E5" s="96"/>
      <c r="F5" s="96"/>
      <c r="G5" s="96"/>
      <c r="H5" s="96"/>
      <c r="I5" s="96"/>
      <c r="J5" s="96"/>
      <c r="K5" s="96"/>
    </row>
    <row r="6" spans="2:12">
      <c r="B6" s="50"/>
      <c r="C6" s="50" t="s">
        <v>77</v>
      </c>
      <c r="D6" s="50" t="s">
        <v>207</v>
      </c>
      <c r="E6" s="50" t="s">
        <v>208</v>
      </c>
      <c r="F6" s="50" t="s">
        <v>209</v>
      </c>
      <c r="G6" s="50" t="s">
        <v>210</v>
      </c>
      <c r="H6" s="50" t="s">
        <v>211</v>
      </c>
      <c r="I6" s="50" t="s">
        <v>212</v>
      </c>
      <c r="J6" s="50" t="s">
        <v>213</v>
      </c>
      <c r="K6" s="50" t="s">
        <v>214</v>
      </c>
    </row>
    <row r="7" spans="2:12">
      <c r="B7" s="67" t="s">
        <v>166</v>
      </c>
      <c r="C7" s="68">
        <v>1</v>
      </c>
      <c r="D7" s="67">
        <v>0</v>
      </c>
      <c r="E7" s="67">
        <v>0</v>
      </c>
      <c r="F7" s="67">
        <v>0</v>
      </c>
      <c r="G7" s="67">
        <v>0</v>
      </c>
      <c r="H7" s="67">
        <v>0</v>
      </c>
      <c r="I7" s="67">
        <v>0</v>
      </c>
      <c r="J7" s="67">
        <v>1</v>
      </c>
      <c r="K7" s="66">
        <f>SUM(D7:J7)</f>
        <v>1</v>
      </c>
    </row>
    <row r="8" spans="2:12">
      <c r="B8" s="67" t="s">
        <v>168</v>
      </c>
      <c r="C8" s="68">
        <v>3</v>
      </c>
      <c r="D8" s="67">
        <v>0</v>
      </c>
      <c r="E8" s="67">
        <v>0.5</v>
      </c>
      <c r="F8" s="67">
        <v>0</v>
      </c>
      <c r="G8" s="67">
        <v>1</v>
      </c>
      <c r="H8" s="67">
        <v>1</v>
      </c>
      <c r="I8" s="67">
        <v>1</v>
      </c>
      <c r="J8" s="67">
        <v>0</v>
      </c>
      <c r="K8" s="66">
        <f>SUM(D8:J8)</f>
        <v>3.5</v>
      </c>
    </row>
    <row r="9" spans="2:12">
      <c r="B9" s="67" t="s">
        <v>170</v>
      </c>
      <c r="C9" s="68">
        <v>4</v>
      </c>
      <c r="D9" s="67">
        <v>1</v>
      </c>
      <c r="E9" s="67">
        <v>2</v>
      </c>
      <c r="F9" s="67">
        <v>1</v>
      </c>
      <c r="G9" s="67">
        <v>1</v>
      </c>
      <c r="H9" s="67">
        <v>0</v>
      </c>
      <c r="I9" s="67">
        <v>0</v>
      </c>
      <c r="J9" s="67">
        <v>0</v>
      </c>
      <c r="K9" s="66">
        <f>SUM(D9:J9)</f>
        <v>5</v>
      </c>
    </row>
    <row r="10" spans="2:12">
      <c r="B10" s="67" t="s">
        <v>172</v>
      </c>
      <c r="C10" s="68">
        <v>3</v>
      </c>
      <c r="D10" s="67">
        <v>2</v>
      </c>
      <c r="E10" s="67">
        <v>0</v>
      </c>
      <c r="F10" s="67">
        <v>0</v>
      </c>
      <c r="G10" s="67">
        <v>1</v>
      </c>
      <c r="H10" s="67">
        <v>0</v>
      </c>
      <c r="I10" s="67">
        <v>1</v>
      </c>
      <c r="J10" s="67">
        <v>0</v>
      </c>
      <c r="K10" s="66">
        <f>SUM(D10:J10)</f>
        <v>4</v>
      </c>
    </row>
    <row r="11" spans="2:12">
      <c r="B11" s="67" t="s">
        <v>174</v>
      </c>
      <c r="C11" s="68">
        <v>0.5</v>
      </c>
      <c r="D11" s="69">
        <v>0.5</v>
      </c>
      <c r="E11" s="67">
        <v>0</v>
      </c>
      <c r="F11" s="67">
        <v>0</v>
      </c>
      <c r="G11" s="67">
        <v>0</v>
      </c>
      <c r="H11" s="67">
        <v>0</v>
      </c>
      <c r="I11" s="67">
        <v>0</v>
      </c>
      <c r="J11" s="67">
        <v>0</v>
      </c>
      <c r="K11" s="66">
        <f>SUM(D11:J11)</f>
        <v>0.5</v>
      </c>
    </row>
    <row r="12" spans="2:12">
      <c r="B12" s="53" t="s">
        <v>215</v>
      </c>
      <c r="C12" s="50">
        <f>SUM(C7:C11)</f>
        <v>11.5</v>
      </c>
      <c r="D12" s="50">
        <f>SUM(D7:D11)</f>
        <v>3.5</v>
      </c>
      <c r="E12" s="50">
        <f>SUM(E7:E11)</f>
        <v>2.5</v>
      </c>
      <c r="F12" s="50">
        <f>SUM(F7:F11)</f>
        <v>1</v>
      </c>
      <c r="G12" s="50">
        <f>SUM(G7:G11)</f>
        <v>3</v>
      </c>
      <c r="H12" s="50">
        <f>SUM(H7:H11)</f>
        <v>1</v>
      </c>
      <c r="I12" s="50">
        <f>SUM(I7:I11)</f>
        <v>2</v>
      </c>
      <c r="J12" s="50">
        <f>SUM(J7:J11)</f>
        <v>1</v>
      </c>
      <c r="K12" s="66">
        <f t="shared" ref="K12" si="0">SUM(D12:J12)</f>
        <v>14</v>
      </c>
    </row>
    <row r="13" spans="2:12">
      <c r="B13" s="53" t="s">
        <v>216</v>
      </c>
      <c r="C13" s="50">
        <f>SUM(C7:C11)</f>
        <v>11.5</v>
      </c>
      <c r="D13" s="50">
        <f>C13-(SUM(C7:C11)/7)</f>
        <v>9.8571428571428577</v>
      </c>
      <c r="E13" s="50">
        <f>D13-(SUM(C7:C11)/7)</f>
        <v>8.2142857142857153</v>
      </c>
      <c r="F13" s="50">
        <f>E13-(SUM(C7:C11)/7)</f>
        <v>6.571428571428573</v>
      </c>
      <c r="G13" s="50">
        <f>F13-(SUM(C7:C11)/7)</f>
        <v>4.9285714285714306</v>
      </c>
      <c r="H13" s="50">
        <f>G13-(SUM(C7:C11)/7)</f>
        <v>3.2857142857142878</v>
      </c>
      <c r="I13" s="50">
        <f>H13-(SUM(C7:C11)/7)</f>
        <v>1.642857142857145</v>
      </c>
      <c r="J13" s="50">
        <f>I13-(SUM(C7:C11)/7)</f>
        <v>2.2204460492503131E-15</v>
      </c>
      <c r="K13" s="76"/>
    </row>
    <row r="14" spans="2:12">
      <c r="B14" s="77"/>
      <c r="C14" s="77"/>
      <c r="D14" s="77"/>
      <c r="E14" s="77"/>
      <c r="F14" s="77"/>
      <c r="G14" s="77"/>
      <c r="H14" s="77"/>
      <c r="I14" s="77"/>
      <c r="J14" s="77"/>
      <c r="K14" s="77"/>
    </row>
    <row r="15" spans="2:12">
      <c r="B15" s="77"/>
      <c r="C15" s="77"/>
      <c r="D15" s="77"/>
      <c r="E15" s="77"/>
      <c r="F15" s="77"/>
      <c r="G15" s="77"/>
      <c r="H15" s="77"/>
      <c r="I15" s="77"/>
      <c r="J15" s="77"/>
      <c r="K15" s="77"/>
    </row>
    <row r="16" spans="2:12">
      <c r="B16" s="77"/>
      <c r="C16" s="77"/>
      <c r="D16" s="77"/>
      <c r="E16" s="77"/>
      <c r="F16" s="77"/>
      <c r="G16" s="77"/>
      <c r="H16" s="77"/>
      <c r="I16" s="77"/>
      <c r="J16" s="77"/>
      <c r="K16" s="77"/>
    </row>
    <row r="17" spans="2:11">
      <c r="B17" s="77"/>
      <c r="C17" s="77"/>
      <c r="D17" s="77"/>
      <c r="E17" s="77"/>
      <c r="F17" s="77"/>
      <c r="G17" s="77"/>
      <c r="H17" s="77"/>
      <c r="I17" s="77"/>
      <c r="J17" s="77"/>
      <c r="K17" s="77"/>
    </row>
    <row r="18" spans="2:11">
      <c r="B18" s="77"/>
      <c r="C18" s="77"/>
      <c r="D18" s="77"/>
      <c r="E18" s="77"/>
      <c r="F18" s="77"/>
      <c r="G18" s="77"/>
      <c r="H18" s="77"/>
      <c r="I18" s="77"/>
      <c r="J18" s="77"/>
      <c r="K18" s="77"/>
    </row>
    <row r="19" spans="2:11">
      <c r="B19" s="77"/>
      <c r="C19" s="77"/>
      <c r="D19" s="77"/>
      <c r="E19" s="77"/>
      <c r="F19" s="77"/>
      <c r="G19" s="77"/>
      <c r="H19" s="77"/>
      <c r="I19" s="77"/>
      <c r="J19" s="77"/>
      <c r="K19" s="77"/>
    </row>
    <row r="20" spans="2:11">
      <c r="B20" s="77"/>
      <c r="C20" s="77"/>
      <c r="D20" s="77"/>
      <c r="E20" s="77"/>
      <c r="F20" s="77"/>
      <c r="G20" s="77"/>
      <c r="H20" s="77"/>
      <c r="I20" s="77"/>
      <c r="J20" s="77"/>
      <c r="K20" s="77"/>
    </row>
    <row r="21" spans="2:11">
      <c r="B21" s="77"/>
      <c r="C21" s="77"/>
      <c r="D21" s="77"/>
      <c r="E21" s="77"/>
      <c r="F21" s="77"/>
      <c r="G21" s="77"/>
      <c r="H21" s="77"/>
      <c r="I21" s="77"/>
      <c r="J21" s="77"/>
      <c r="K21" s="77"/>
    </row>
    <row r="22" spans="2:11">
      <c r="B22" s="84"/>
      <c r="C22" s="84"/>
      <c r="D22" s="84"/>
      <c r="E22" s="84"/>
      <c r="F22" s="77"/>
      <c r="G22" s="77"/>
      <c r="H22" s="77"/>
      <c r="I22" s="77"/>
      <c r="J22" s="77"/>
      <c r="K22" s="77"/>
    </row>
    <row r="23" spans="2:11">
      <c r="B23" s="84"/>
      <c r="C23" s="84"/>
      <c r="D23" s="84"/>
      <c r="E23" s="84"/>
      <c r="F23" s="77"/>
      <c r="G23" s="77"/>
      <c r="H23" s="77"/>
      <c r="I23" s="77"/>
      <c r="J23" s="77"/>
      <c r="K23" s="77"/>
    </row>
    <row r="24" spans="2:11">
      <c r="B24" s="84"/>
      <c r="C24" s="84"/>
      <c r="D24" s="84"/>
      <c r="E24" s="84"/>
      <c r="F24" s="77"/>
      <c r="G24" s="77"/>
      <c r="H24" s="77"/>
      <c r="I24" s="77"/>
      <c r="J24" s="77"/>
      <c r="K24" s="77"/>
    </row>
    <row r="25" spans="2:11">
      <c r="B25" s="84"/>
      <c r="C25" s="84"/>
      <c r="D25" s="84"/>
      <c r="E25" s="84"/>
      <c r="F25" s="77"/>
      <c r="G25" s="77"/>
      <c r="H25" s="77"/>
      <c r="I25" s="77"/>
      <c r="J25" s="77"/>
      <c r="K25" s="77"/>
    </row>
    <row r="26" spans="2:11">
      <c r="B26" s="84"/>
      <c r="C26" s="84"/>
      <c r="D26" s="84"/>
      <c r="E26" s="84"/>
      <c r="F26" s="77"/>
      <c r="G26" s="77"/>
      <c r="H26" s="77"/>
      <c r="I26" s="77"/>
      <c r="J26" s="77"/>
      <c r="K26" s="77"/>
    </row>
    <row r="27" spans="2:11">
      <c r="B27" s="84"/>
      <c r="C27" s="84"/>
      <c r="D27" s="84"/>
      <c r="E27" s="84"/>
      <c r="F27" s="77"/>
      <c r="G27" s="77"/>
      <c r="H27" s="77"/>
      <c r="I27" s="77"/>
      <c r="J27" s="77"/>
      <c r="K27" s="77"/>
    </row>
    <row r="28" spans="2:11">
      <c r="B28" s="84"/>
      <c r="C28" s="84"/>
      <c r="D28" s="84"/>
      <c r="E28" s="84"/>
      <c r="F28" s="77"/>
      <c r="G28" s="77"/>
      <c r="H28" s="77"/>
      <c r="I28" s="77"/>
      <c r="J28" s="77"/>
      <c r="K28" s="77"/>
    </row>
    <row r="29" spans="2:11">
      <c r="B29" s="84"/>
      <c r="C29" s="84"/>
      <c r="D29" s="84"/>
      <c r="E29" s="84"/>
      <c r="F29" s="77"/>
      <c r="G29" s="77"/>
      <c r="H29" s="77"/>
      <c r="I29" s="77"/>
      <c r="J29" s="77"/>
      <c r="K29" s="77"/>
    </row>
    <row r="30" spans="2:11">
      <c r="B30" s="84"/>
      <c r="C30" s="84"/>
      <c r="D30" s="84"/>
      <c r="E30" s="84"/>
      <c r="F30" s="77"/>
      <c r="G30" s="77"/>
      <c r="H30" s="77"/>
      <c r="I30" s="77"/>
      <c r="J30" s="77"/>
      <c r="K30" s="77"/>
    </row>
    <row r="31" spans="2:11">
      <c r="B31" s="84"/>
      <c r="C31" s="84"/>
      <c r="D31" s="84"/>
      <c r="E31" s="84"/>
      <c r="F31" s="77"/>
      <c r="G31" s="77"/>
      <c r="H31" s="77"/>
      <c r="I31" s="77"/>
      <c r="J31" s="77"/>
      <c r="K31" s="77"/>
    </row>
    <row r="32" spans="2:11">
      <c r="B32" s="84"/>
      <c r="C32" s="84"/>
      <c r="D32" s="84"/>
      <c r="E32" s="84"/>
      <c r="F32" s="77"/>
      <c r="G32" s="77"/>
      <c r="H32" s="77"/>
      <c r="I32" s="77"/>
      <c r="J32" s="77"/>
      <c r="K32" s="77"/>
    </row>
    <row r="33" spans="2:11">
      <c r="B33" s="77"/>
      <c r="C33" s="77"/>
      <c r="D33" s="77"/>
      <c r="E33" s="77"/>
      <c r="F33" s="77"/>
      <c r="G33" s="77"/>
      <c r="H33" s="77"/>
      <c r="I33" s="77"/>
      <c r="J33" s="77"/>
      <c r="K33" s="77"/>
    </row>
    <row r="42" spans="2:11">
      <c r="B42" s="96" t="s">
        <v>239</v>
      </c>
      <c r="C42" s="96"/>
      <c r="D42" s="96"/>
      <c r="E42" s="96"/>
      <c r="F42" s="96"/>
      <c r="G42" s="96"/>
      <c r="H42" s="96"/>
      <c r="I42" s="96"/>
      <c r="J42" s="96"/>
      <c r="K42" s="96"/>
    </row>
    <row r="43" spans="2:11">
      <c r="B43" s="50"/>
      <c r="C43" s="50" t="s">
        <v>77</v>
      </c>
      <c r="D43" s="50" t="s">
        <v>207</v>
      </c>
      <c r="E43" s="50" t="s">
        <v>208</v>
      </c>
      <c r="F43" s="50" t="s">
        <v>209</v>
      </c>
      <c r="G43" s="50" t="s">
        <v>210</v>
      </c>
      <c r="H43" s="50" t="s">
        <v>211</v>
      </c>
      <c r="I43" s="50" t="s">
        <v>212</v>
      </c>
      <c r="J43" s="50" t="s">
        <v>213</v>
      </c>
      <c r="K43" s="50" t="s">
        <v>214</v>
      </c>
    </row>
    <row r="44" spans="2:11">
      <c r="B44" s="67" t="s">
        <v>177</v>
      </c>
      <c r="C44" s="68">
        <v>2</v>
      </c>
      <c r="D44" s="67">
        <v>0</v>
      </c>
      <c r="E44" s="67">
        <v>0</v>
      </c>
      <c r="F44" s="67">
        <v>0</v>
      </c>
      <c r="G44" s="67">
        <v>0</v>
      </c>
      <c r="H44" s="67">
        <v>0</v>
      </c>
      <c r="I44" s="67">
        <v>0</v>
      </c>
      <c r="J44" s="67">
        <v>2</v>
      </c>
      <c r="K44" s="66">
        <f>SUM(D44:J44)</f>
        <v>2</v>
      </c>
    </row>
    <row r="45" spans="2:11">
      <c r="B45" s="67" t="s">
        <v>179</v>
      </c>
      <c r="C45" s="68">
        <v>1</v>
      </c>
      <c r="D45" s="67">
        <v>0</v>
      </c>
      <c r="E45" s="67">
        <v>0</v>
      </c>
      <c r="F45" s="67">
        <v>0</v>
      </c>
      <c r="G45" s="67">
        <v>0</v>
      </c>
      <c r="H45" s="67">
        <v>0</v>
      </c>
      <c r="I45" s="67">
        <v>1</v>
      </c>
      <c r="J45" s="67">
        <v>0</v>
      </c>
      <c r="K45" s="66">
        <f>SUM(D45:J45)</f>
        <v>1</v>
      </c>
    </row>
    <row r="46" spans="2:11">
      <c r="B46" s="67" t="s">
        <v>181</v>
      </c>
      <c r="C46" s="68">
        <v>1</v>
      </c>
      <c r="D46" s="67">
        <v>0</v>
      </c>
      <c r="E46" s="67">
        <v>0</v>
      </c>
      <c r="F46" s="67">
        <v>0</v>
      </c>
      <c r="G46" s="67">
        <v>0</v>
      </c>
      <c r="H46" s="67">
        <v>0</v>
      </c>
      <c r="I46" s="67">
        <v>1</v>
      </c>
      <c r="J46" s="67">
        <v>0</v>
      </c>
      <c r="K46" s="66">
        <f>SUM(D46:J46)</f>
        <v>1</v>
      </c>
    </row>
    <row r="47" spans="2:11">
      <c r="B47" s="67" t="s">
        <v>183</v>
      </c>
      <c r="C47" s="68">
        <v>1</v>
      </c>
      <c r="D47" s="67">
        <v>0</v>
      </c>
      <c r="E47" s="67">
        <v>0</v>
      </c>
      <c r="F47" s="67">
        <v>0.5</v>
      </c>
      <c r="G47" s="67">
        <v>0</v>
      </c>
      <c r="H47" s="67">
        <v>0</v>
      </c>
      <c r="I47" s="67">
        <v>1</v>
      </c>
      <c r="J47" s="67">
        <v>0</v>
      </c>
      <c r="K47" s="66">
        <f>SUM(D47:J47)</f>
        <v>1.5</v>
      </c>
    </row>
    <row r="48" spans="2:11" ht="12.75">
      <c r="B48" s="67" t="s">
        <v>185</v>
      </c>
      <c r="C48" s="68">
        <v>1</v>
      </c>
      <c r="D48" s="67">
        <v>0</v>
      </c>
      <c r="E48" s="67">
        <v>0</v>
      </c>
      <c r="F48" s="67">
        <v>0</v>
      </c>
      <c r="G48" s="67">
        <v>0</v>
      </c>
      <c r="H48" s="67">
        <v>1</v>
      </c>
      <c r="I48" s="67">
        <v>0</v>
      </c>
      <c r="J48" s="67">
        <v>0</v>
      </c>
      <c r="K48" s="66">
        <f t="shared" ref="K48:K49" si="1">SUM(D48:J48)</f>
        <v>1</v>
      </c>
    </row>
    <row r="49" spans="2:11">
      <c r="B49" s="53" t="s">
        <v>215</v>
      </c>
      <c r="C49" s="50">
        <f>SUM(C44:C48)</f>
        <v>6</v>
      </c>
      <c r="D49" s="50">
        <f>SUM(D44:D48)</f>
        <v>0</v>
      </c>
      <c r="E49" s="50">
        <f>SUM(E44:E48)</f>
        <v>0</v>
      </c>
      <c r="F49" s="50">
        <f>SUM(F44:F48)</f>
        <v>0.5</v>
      </c>
      <c r="G49" s="50">
        <f>SUM(G44:G48)</f>
        <v>0</v>
      </c>
      <c r="H49" s="50">
        <f>SUM(H44:H48)</f>
        <v>1</v>
      </c>
      <c r="I49" s="50">
        <f>SUM(I44:I48)</f>
        <v>3</v>
      </c>
      <c r="J49" s="50">
        <f>SUM(J44:J48)</f>
        <v>2</v>
      </c>
      <c r="K49" s="66">
        <f t="shared" si="1"/>
        <v>6.5</v>
      </c>
    </row>
    <row r="50" spans="2:11" ht="12.75">
      <c r="B50" s="53" t="s">
        <v>216</v>
      </c>
      <c r="C50" s="50">
        <f>SUM(C44:C48)</f>
        <v>6</v>
      </c>
      <c r="D50" s="50">
        <f>C50-(SUM(C44:C48)/7)</f>
        <v>5.1428571428571432</v>
      </c>
      <c r="E50" s="50">
        <f>D50-(SUM(C44:C48)/7)</f>
        <v>4.2857142857142865</v>
      </c>
      <c r="F50" s="50">
        <f>E50-(SUM(C44:C48)/7)</f>
        <v>3.4285714285714293</v>
      </c>
      <c r="G50" s="50">
        <f>F50-(SUM(C44:C48)/7)</f>
        <v>2.5714285714285721</v>
      </c>
      <c r="H50" s="50">
        <f>G50-(SUM(C44:C48)/7)</f>
        <v>1.7142857142857149</v>
      </c>
      <c r="I50" s="50">
        <f>H50-(SUM(C44:C48)/7)</f>
        <v>0.85714285714285776</v>
      </c>
      <c r="J50" s="50">
        <f>I50-(SUM(C44:C48)/7)</f>
        <v>0</v>
      </c>
      <c r="K50" s="76"/>
    </row>
    <row r="76" ht="12.75"/>
    <row r="77" ht="12.75"/>
    <row r="104" spans="2:11">
      <c r="B104" s="96" t="s">
        <v>240</v>
      </c>
      <c r="C104" s="96"/>
      <c r="D104" s="96"/>
      <c r="E104" s="96"/>
      <c r="F104" s="96"/>
      <c r="G104" s="96"/>
      <c r="H104" s="96"/>
      <c r="I104" s="96"/>
      <c r="J104" s="96"/>
      <c r="K104" s="96"/>
    </row>
    <row r="105" spans="2:11">
      <c r="B105" s="50"/>
      <c r="C105" s="50" t="s">
        <v>77</v>
      </c>
      <c r="D105" s="50" t="s">
        <v>207</v>
      </c>
      <c r="E105" s="50" t="s">
        <v>208</v>
      </c>
      <c r="F105" s="50" t="s">
        <v>209</v>
      </c>
      <c r="G105" s="50" t="s">
        <v>210</v>
      </c>
      <c r="H105" s="50" t="s">
        <v>211</v>
      </c>
      <c r="I105" s="50" t="s">
        <v>212</v>
      </c>
      <c r="J105" s="50" t="s">
        <v>213</v>
      </c>
      <c r="K105" s="50" t="s">
        <v>214</v>
      </c>
    </row>
    <row r="106" spans="2:11">
      <c r="B106" s="67" t="s">
        <v>188</v>
      </c>
      <c r="C106" s="53">
        <v>1</v>
      </c>
      <c r="D106" s="67">
        <v>0</v>
      </c>
      <c r="E106" s="67">
        <v>0</v>
      </c>
      <c r="F106" s="67">
        <v>0</v>
      </c>
      <c r="G106" s="67">
        <v>0</v>
      </c>
      <c r="H106" s="67">
        <v>0.35</v>
      </c>
      <c r="I106" s="67">
        <v>0.25</v>
      </c>
      <c r="J106" s="67">
        <v>0.5</v>
      </c>
      <c r="K106" s="66">
        <f>SUM(D106:J106)</f>
        <v>1.1000000000000001</v>
      </c>
    </row>
    <row r="107" spans="2:11">
      <c r="B107" s="67" t="s">
        <v>190</v>
      </c>
      <c r="C107" s="53">
        <v>1</v>
      </c>
      <c r="D107" s="67">
        <v>0</v>
      </c>
      <c r="E107" s="67">
        <v>0</v>
      </c>
      <c r="F107" s="67">
        <v>0</v>
      </c>
      <c r="G107" s="67">
        <v>0.25</v>
      </c>
      <c r="H107" s="67">
        <v>0.75</v>
      </c>
      <c r="I107" s="67">
        <v>0</v>
      </c>
      <c r="J107" s="67">
        <v>0</v>
      </c>
      <c r="K107" s="66">
        <f>SUM(D107:J107)</f>
        <v>1</v>
      </c>
    </row>
    <row r="108" spans="2:11">
      <c r="B108" s="67" t="s">
        <v>192</v>
      </c>
      <c r="C108" s="53">
        <v>1.5</v>
      </c>
      <c r="D108" s="67">
        <v>0</v>
      </c>
      <c r="E108" s="67">
        <v>0.75</v>
      </c>
      <c r="F108" s="67">
        <v>0.5</v>
      </c>
      <c r="G108" s="67">
        <v>0.5</v>
      </c>
      <c r="H108" s="67">
        <v>0</v>
      </c>
      <c r="I108" s="67">
        <v>0</v>
      </c>
      <c r="J108" s="67">
        <v>0</v>
      </c>
      <c r="K108" s="66">
        <f>SUM(D108:J108)</f>
        <v>1.75</v>
      </c>
    </row>
    <row r="109" spans="2:11">
      <c r="B109" s="67" t="s">
        <v>194</v>
      </c>
      <c r="C109" s="53">
        <v>1</v>
      </c>
      <c r="D109" s="67">
        <v>1</v>
      </c>
      <c r="E109" s="67">
        <v>0.25</v>
      </c>
      <c r="F109" s="67">
        <v>0</v>
      </c>
      <c r="G109" s="67">
        <v>0</v>
      </c>
      <c r="H109" s="67">
        <v>0</v>
      </c>
      <c r="I109" s="67">
        <v>0</v>
      </c>
      <c r="J109" s="67">
        <v>0</v>
      </c>
      <c r="K109" s="66">
        <f>SUM(D109:J109)</f>
        <v>1.25</v>
      </c>
    </row>
    <row r="110" spans="2:11">
      <c r="B110" s="53" t="s">
        <v>215</v>
      </c>
      <c r="C110" s="50">
        <f>SUM(C106:C108)</f>
        <v>3.5</v>
      </c>
      <c r="D110" s="50">
        <f>SUM(D106:D108)</f>
        <v>0</v>
      </c>
      <c r="E110" s="50">
        <f>SUM(E106:E108)</f>
        <v>0.75</v>
      </c>
      <c r="F110" s="50">
        <f>SUM(F106:F108)</f>
        <v>0.5</v>
      </c>
      <c r="G110" s="50">
        <f>SUM(G106:G108)</f>
        <v>0.75</v>
      </c>
      <c r="H110" s="50">
        <f>SUM(H106:H108)</f>
        <v>1.1000000000000001</v>
      </c>
      <c r="I110" s="50">
        <f>SUM(I106:I108)</f>
        <v>0.25</v>
      </c>
      <c r="J110" s="50">
        <f>SUM(J106:J108)</f>
        <v>0.5</v>
      </c>
      <c r="K110" s="66">
        <f t="shared" ref="K110" si="2">SUM(D110:J110)</f>
        <v>3.85</v>
      </c>
    </row>
    <row r="111" spans="2:11">
      <c r="B111" s="53" t="s">
        <v>216</v>
      </c>
      <c r="C111" s="50">
        <f>SUM(C106:C108)</f>
        <v>3.5</v>
      </c>
      <c r="D111" s="50">
        <f>C111-(SUM(C106:C108)/7)</f>
        <v>3</v>
      </c>
      <c r="E111" s="50">
        <f>D111-(SUM(C106:C108)/7)</f>
        <v>2.5</v>
      </c>
      <c r="F111" s="50">
        <f>E111-(SUM(C106:C108)/7)</f>
        <v>2</v>
      </c>
      <c r="G111" s="50">
        <f>F111-(SUM(C106:C108)/7)</f>
        <v>1.5</v>
      </c>
      <c r="H111" s="50">
        <f>G111-(SUM(C106:C108)/7)</f>
        <v>1</v>
      </c>
      <c r="I111" s="50">
        <f>H111-(SUM(C106:C108)/7)</f>
        <v>0.5</v>
      </c>
      <c r="J111" s="50">
        <f>I111-(SUM(C106:C108)/7)</f>
        <v>0</v>
      </c>
      <c r="K111" s="76"/>
    </row>
    <row r="139" spans="2:11">
      <c r="B139" s="96" t="s">
        <v>241</v>
      </c>
      <c r="C139" s="96"/>
      <c r="D139" s="96"/>
      <c r="E139" s="96"/>
      <c r="F139" s="96"/>
      <c r="G139" s="96"/>
      <c r="H139" s="96"/>
      <c r="I139" s="96"/>
      <c r="J139" s="96"/>
      <c r="K139" s="96"/>
    </row>
    <row r="140" spans="2:11">
      <c r="B140" s="50"/>
      <c r="C140" s="50" t="s">
        <v>77</v>
      </c>
      <c r="D140" s="50" t="s">
        <v>207</v>
      </c>
      <c r="E140" s="50" t="s">
        <v>208</v>
      </c>
      <c r="F140" s="50" t="s">
        <v>209</v>
      </c>
      <c r="G140" s="50" t="s">
        <v>210</v>
      </c>
      <c r="H140" s="50" t="s">
        <v>211</v>
      </c>
      <c r="I140" s="50" t="s">
        <v>212</v>
      </c>
      <c r="J140" s="50" t="s">
        <v>213</v>
      </c>
      <c r="K140" s="50" t="s">
        <v>214</v>
      </c>
    </row>
    <row r="141" spans="2:11">
      <c r="B141" s="67" t="s">
        <v>196</v>
      </c>
      <c r="C141" s="53">
        <v>1</v>
      </c>
      <c r="D141" s="67">
        <v>0</v>
      </c>
      <c r="E141" s="67">
        <v>0</v>
      </c>
      <c r="F141" s="67">
        <v>0</v>
      </c>
      <c r="G141" s="67">
        <v>0</v>
      </c>
      <c r="H141" s="67">
        <v>0</v>
      </c>
      <c r="I141" s="67">
        <v>0.5</v>
      </c>
      <c r="J141" s="67">
        <v>0.5</v>
      </c>
      <c r="K141" s="66">
        <f>SUM(D141:J141)</f>
        <v>1</v>
      </c>
    </row>
    <row r="142" spans="2:11">
      <c r="B142" s="67" t="s">
        <v>198</v>
      </c>
      <c r="C142" s="53">
        <v>1</v>
      </c>
      <c r="D142" s="67">
        <v>0</v>
      </c>
      <c r="E142" s="67">
        <v>0</v>
      </c>
      <c r="F142" s="67">
        <v>0</v>
      </c>
      <c r="G142" s="67">
        <v>0.55000000000000004</v>
      </c>
      <c r="H142" s="67">
        <v>0.5</v>
      </c>
      <c r="I142" s="67">
        <v>0</v>
      </c>
      <c r="J142" s="67">
        <v>0</v>
      </c>
      <c r="K142" s="66">
        <f>SUM(D142:J142)</f>
        <v>1.05</v>
      </c>
    </row>
    <row r="143" spans="2:11">
      <c r="B143" s="67" t="s">
        <v>200</v>
      </c>
      <c r="C143" s="53">
        <v>0.5</v>
      </c>
      <c r="D143" s="67">
        <v>0</v>
      </c>
      <c r="E143" s="67">
        <v>0</v>
      </c>
      <c r="F143" s="67">
        <v>0.5</v>
      </c>
      <c r="G143" s="67">
        <v>0</v>
      </c>
      <c r="H143" s="67">
        <v>0</v>
      </c>
      <c r="I143" s="67">
        <v>0</v>
      </c>
      <c r="J143" s="67">
        <v>0</v>
      </c>
      <c r="K143" s="66">
        <f>SUM(D143:J143)</f>
        <v>0.5</v>
      </c>
    </row>
    <row r="144" spans="2:11">
      <c r="B144" s="67" t="s">
        <v>202</v>
      </c>
      <c r="C144" s="53">
        <v>2</v>
      </c>
      <c r="D144" s="67">
        <v>1.5</v>
      </c>
      <c r="E144" s="67">
        <v>1</v>
      </c>
      <c r="F144" s="67">
        <v>0</v>
      </c>
      <c r="G144" s="67">
        <v>0</v>
      </c>
      <c r="H144" s="67">
        <v>0</v>
      </c>
      <c r="I144" s="67">
        <v>0</v>
      </c>
      <c r="J144" s="67">
        <v>0</v>
      </c>
      <c r="K144" s="66">
        <f>SUM(D144:J144)</f>
        <v>2.5</v>
      </c>
    </row>
    <row r="145" spans="2:11">
      <c r="B145" s="53" t="s">
        <v>215</v>
      </c>
      <c r="C145" s="50">
        <f>SUM(C141:C143)</f>
        <v>2.5</v>
      </c>
      <c r="D145" s="50">
        <f>SUM(D141:D143)</f>
        <v>0</v>
      </c>
      <c r="E145" s="50">
        <f>SUM(E141:E143)</f>
        <v>0</v>
      </c>
      <c r="F145" s="50">
        <f>SUM(F141:F143)</f>
        <v>0.5</v>
      </c>
      <c r="G145" s="50">
        <f>SUM(G141:G143)</f>
        <v>0.55000000000000004</v>
      </c>
      <c r="H145" s="50">
        <f>SUM(H141:H143)</f>
        <v>0.5</v>
      </c>
      <c r="I145" s="50">
        <f>SUM(I141:I143)</f>
        <v>0.5</v>
      </c>
      <c r="J145" s="50">
        <f>SUM(J141:J143)</f>
        <v>0.5</v>
      </c>
      <c r="K145" s="66">
        <f t="shared" ref="K145" si="3">SUM(D145:J145)</f>
        <v>2.5499999999999998</v>
      </c>
    </row>
    <row r="146" spans="2:11">
      <c r="B146" s="53" t="s">
        <v>216</v>
      </c>
      <c r="C146" s="50">
        <f>SUM(C141:C143)</f>
        <v>2.5</v>
      </c>
      <c r="D146" s="50">
        <f>C146-(SUM(C141:C143)/7)</f>
        <v>2.1428571428571428</v>
      </c>
      <c r="E146" s="50">
        <f>D146-(SUM(C141:C143)/7)</f>
        <v>1.7857142857142856</v>
      </c>
      <c r="F146" s="50">
        <f>E146-(SUM(C141:C143)/7)</f>
        <v>1.4285714285714284</v>
      </c>
      <c r="G146" s="50">
        <f>F146-(SUM(C141:C143)/7)</f>
        <v>1.0714285714285712</v>
      </c>
      <c r="H146" s="50">
        <f>G146-(SUM(C141:C143)/7)</f>
        <v>0.71428571428571397</v>
      </c>
      <c r="I146" s="50">
        <f>H146-(SUM(C141:C143)/7)</f>
        <v>0.35714285714285682</v>
      </c>
      <c r="J146" s="50">
        <f>I146-(SUM(C141:C143)/7)</f>
        <v>0</v>
      </c>
      <c r="K146" s="76"/>
    </row>
    <row r="148" spans="2:11" ht="12.75"/>
    <row r="149" spans="2:11" ht="12.75"/>
    <row r="150" spans="2:11" ht="12.75"/>
    <row r="151" spans="2:11" ht="12.75"/>
    <row r="152" spans="2:11" ht="12.75"/>
    <row r="153" spans="2:11" ht="12.75"/>
  </sheetData>
  <mergeCells count="6">
    <mergeCell ref="G2:K2"/>
    <mergeCell ref="B139:K139"/>
    <mergeCell ref="B5:K5"/>
    <mergeCell ref="B22:E32"/>
    <mergeCell ref="B42:K42"/>
    <mergeCell ref="B104:K10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60443-ABD0-4E0D-9716-5779798EDC43}">
  <dimension ref="F4:H17"/>
  <sheetViews>
    <sheetView workbookViewId="0">
      <selection activeCell="I12" sqref="I12"/>
    </sheetView>
  </sheetViews>
  <sheetFormatPr defaultRowHeight="12.75"/>
  <cols>
    <col min="5" max="5" width="0.5703125" customWidth="1"/>
    <col min="6" max="6" width="29.85546875" customWidth="1"/>
    <col min="7" max="7" width="35.5703125" customWidth="1"/>
    <col min="8" max="8" width="27.140625" customWidth="1"/>
  </cols>
  <sheetData>
    <row r="4" spans="6:8">
      <c r="F4" s="97" t="s">
        <v>242</v>
      </c>
      <c r="G4" s="98"/>
      <c r="H4" s="99"/>
    </row>
    <row r="5" spans="6:8">
      <c r="F5" s="50"/>
      <c r="G5" s="50" t="s">
        <v>215</v>
      </c>
      <c r="H5" s="50" t="s">
        <v>214</v>
      </c>
    </row>
    <row r="6" spans="6:8">
      <c r="F6" s="61" t="s">
        <v>243</v>
      </c>
      <c r="G6" s="51">
        <v>48</v>
      </c>
      <c r="H6" s="52">
        <v>61.5</v>
      </c>
    </row>
    <row r="7" spans="6:8">
      <c r="F7" s="61" t="s">
        <v>244</v>
      </c>
      <c r="G7" s="51">
        <v>26.5</v>
      </c>
      <c r="H7" s="52">
        <v>29</v>
      </c>
    </row>
    <row r="8" spans="6:8">
      <c r="F8" s="61" t="s">
        <v>245</v>
      </c>
      <c r="G8" s="51">
        <v>22</v>
      </c>
      <c r="H8" s="52">
        <v>26.9</v>
      </c>
    </row>
    <row r="9" spans="6:8">
      <c r="F9" s="53" t="s">
        <v>215</v>
      </c>
      <c r="G9" s="50">
        <f>SUM(G6:G8)</f>
        <v>96.5</v>
      </c>
      <c r="H9" s="52">
        <f>SUM(H6:H8)</f>
        <v>117.4</v>
      </c>
    </row>
    <row r="12" spans="6:8">
      <c r="F12" s="97" t="s">
        <v>246</v>
      </c>
      <c r="G12" s="98"/>
      <c r="H12" s="99"/>
    </row>
    <row r="13" spans="6:8">
      <c r="F13" s="50" t="s">
        <v>247</v>
      </c>
      <c r="G13" s="50" t="s">
        <v>248</v>
      </c>
      <c r="H13" s="50" t="s">
        <v>249</v>
      </c>
    </row>
    <row r="14" spans="6:8">
      <c r="F14" s="61" t="s">
        <v>250</v>
      </c>
      <c r="G14" s="51">
        <v>96.5</v>
      </c>
      <c r="H14" s="52">
        <v>117.4</v>
      </c>
    </row>
    <row r="15" spans="6:8">
      <c r="F15" s="61" t="s">
        <v>251</v>
      </c>
      <c r="G15" s="51">
        <f>G14-G6</f>
        <v>48.5</v>
      </c>
      <c r="H15" s="52">
        <f>H14-H6</f>
        <v>55.900000000000006</v>
      </c>
    </row>
    <row r="16" spans="6:8">
      <c r="F16" s="61" t="s">
        <v>252</v>
      </c>
      <c r="G16" s="51">
        <f>G15-G7</f>
        <v>22</v>
      </c>
      <c r="H16" s="52">
        <f>H15-H7</f>
        <v>26.900000000000006</v>
      </c>
    </row>
    <row r="17" spans="6:8">
      <c r="F17" s="53" t="s">
        <v>253</v>
      </c>
      <c r="G17" s="50">
        <f>G16-G8</f>
        <v>0</v>
      </c>
      <c r="H17" s="52">
        <f>H16-H8</f>
        <v>0</v>
      </c>
    </row>
  </sheetData>
  <mergeCells count="2">
    <mergeCell ref="F4:H4"/>
    <mergeCell ref="F12:H1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e9ddb34-41ff-484e-bc06-3da676159bd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FE97100502FEFD4C891B0A1FD3F42BFE" ma:contentTypeVersion="6" ma:contentTypeDescription="Crear nuevo documento." ma:contentTypeScope="" ma:versionID="f54b88654a1fab2e9b388da4570d1358">
  <xsd:schema xmlns:xsd="http://www.w3.org/2001/XMLSchema" xmlns:xs="http://www.w3.org/2001/XMLSchema" xmlns:p="http://schemas.microsoft.com/office/2006/metadata/properties" xmlns:ns3="ce9ddb34-41ff-484e-bc06-3da676159bd7" targetNamespace="http://schemas.microsoft.com/office/2006/metadata/properties" ma:root="true" ma:fieldsID="f4ec76f31255b15a09b8398554e72220" ns3:_="">
    <xsd:import namespace="ce9ddb34-41ff-484e-bc06-3da676159bd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9ddb34-41ff-484e-bc06-3da676159bd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698563-C61F-49F8-82C4-FFA212132BF8}"/>
</file>

<file path=customXml/itemProps2.xml><?xml version="1.0" encoding="utf-8"?>
<ds:datastoreItem xmlns:ds="http://schemas.openxmlformats.org/officeDocument/2006/customXml" ds:itemID="{0073A36B-C018-492F-903E-9EF463272C2E}"/>
</file>

<file path=customXml/itemProps3.xml><?xml version="1.0" encoding="utf-8"?>
<ds:datastoreItem xmlns:ds="http://schemas.openxmlformats.org/officeDocument/2006/customXml" ds:itemID="{11CB9AFB-86D5-4F77-9A34-5827DA6B7F5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dc:creator>
  <cp:keywords/>
  <dc:description/>
  <cp:lastModifiedBy/>
  <cp:revision/>
  <dcterms:created xsi:type="dcterms:W3CDTF">2023-01-13T00:08:30Z</dcterms:created>
  <dcterms:modified xsi:type="dcterms:W3CDTF">2026-07-15T14:39:31Z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0x010100FE97100502FEFD4C891B0A1FD3F42BFE</vt:lpwstr>
  </property>
</Properties>
</file>