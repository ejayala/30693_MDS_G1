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E366C2E-6966-46BE-A7CC-83BAD3C794B3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Backlog" sheetId="1" r:id="rId1"/>
    <sheet name="Sprint" sheetId="2" r:id="rId2"/>
    <sheet name="burdonchar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70" i="3" l="1"/>
  <c r="K7" i="3"/>
  <c r="K6" i="3"/>
  <c r="C69" i="3"/>
  <c r="C99" i="3"/>
  <c r="D99" i="3" s="1"/>
  <c r="E99" i="3" s="1"/>
  <c r="F99" i="3" s="1"/>
  <c r="G99" i="3" s="1"/>
  <c r="H99" i="3" s="1"/>
  <c r="I99" i="3" s="1"/>
  <c r="J99" i="3" s="1"/>
  <c r="J98" i="3"/>
  <c r="I98" i="3"/>
  <c r="H98" i="3"/>
  <c r="G98" i="3"/>
  <c r="F98" i="3"/>
  <c r="E98" i="3"/>
  <c r="D98" i="3"/>
  <c r="C98" i="3"/>
  <c r="K97" i="3"/>
  <c r="K96" i="3"/>
  <c r="K95" i="3"/>
  <c r="K94" i="3"/>
  <c r="C70" i="3"/>
  <c r="D70" i="3" s="1"/>
  <c r="E70" i="3" s="1"/>
  <c r="F70" i="3" s="1"/>
  <c r="G70" i="3" s="1"/>
  <c r="H70" i="3" s="1"/>
  <c r="I70" i="3" s="1"/>
  <c r="J69" i="3"/>
  <c r="I69" i="3"/>
  <c r="H69" i="3"/>
  <c r="G69" i="3"/>
  <c r="F69" i="3"/>
  <c r="E69" i="3"/>
  <c r="D69" i="3"/>
  <c r="J40" i="3"/>
  <c r="J39" i="3"/>
  <c r="I39" i="3"/>
  <c r="H39" i="3"/>
  <c r="G39" i="3"/>
  <c r="F39" i="3"/>
  <c r="E39" i="3"/>
  <c r="D39" i="3"/>
  <c r="C40" i="3"/>
  <c r="D40" i="3" s="1"/>
  <c r="E40" i="3" s="1"/>
  <c r="F40" i="3" s="1"/>
  <c r="G40" i="3" s="1"/>
  <c r="H40" i="3" s="1"/>
  <c r="I40" i="3" s="1"/>
  <c r="C39" i="3"/>
  <c r="C12" i="3"/>
  <c r="D12" i="3" s="1"/>
  <c r="E12" i="3" s="1"/>
  <c r="F12" i="3" s="1"/>
  <c r="G12" i="3" s="1"/>
  <c r="H12" i="3" s="1"/>
  <c r="I12" i="3" s="1"/>
  <c r="J12" i="3" s="1"/>
  <c r="K8" i="3"/>
  <c r="K9" i="3"/>
  <c r="K10" i="3"/>
  <c r="D11" i="3"/>
  <c r="E11" i="3"/>
  <c r="F11" i="3"/>
  <c r="G11" i="3"/>
  <c r="H11" i="3"/>
  <c r="I11" i="3"/>
  <c r="J11" i="3"/>
  <c r="C11" i="3"/>
</calcChain>
</file>

<file path=xl/sharedStrings.xml><?xml version="1.0" encoding="utf-8"?>
<sst xmlns="http://schemas.openxmlformats.org/spreadsheetml/2006/main" count="395" uniqueCount="184">
  <si>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</si>
  <si>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</si>
  <si>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</si>
  <si>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</si>
  <si>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</si>
  <si>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</si>
  <si>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</si>
  <si>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</si>
  <si>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</si>
  <si>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Navegacion por el sistema</t>
  </si>
  <si>
    <t>Administrador del sistema</t>
  </si>
  <si>
    <t>Un menú  intuitivo que permita acceder rápidamente a cada módulo del sistema</t>
  </si>
  <si>
    <t>Acceder de forma eficiente entre los modulos del sistema</t>
  </si>
  <si>
    <t>-</t>
  </si>
  <si>
    <t>Alta</t>
  </si>
  <si>
    <t>No iniciado</t>
  </si>
  <si>
    <t>REQ002</t>
  </si>
  <si>
    <t>Registro de Productos</t>
  </si>
  <si>
    <t>Ingresar productos diferenciando claramente sus variantes de tamaño, empaque y precio</t>
  </si>
  <si>
    <t>Tomar pedidos con mayor rapidez y mantener un control preciso del inventario</t>
  </si>
  <si>
    <t>REQ003</t>
  </si>
  <si>
    <t>Registro de Clientes</t>
  </si>
  <si>
    <t>Ingresar la informacion necesaria de cada cliente (Cedula, Nombre,etc)</t>
  </si>
  <si>
    <t>Identificar correctamente a los compradores y su zonas de entregas</t>
  </si>
  <si>
    <t>REQ004</t>
  </si>
  <si>
    <t>Actualización de información de clientes</t>
  </si>
  <si>
    <t xml:space="preserve">Modificar los datos de los clientes registrados </t>
  </si>
  <si>
    <t>Mantener la información actualizada para evitar fallos en contacto o entrega</t>
  </si>
  <si>
    <t>REQ005</t>
  </si>
  <si>
    <t>Gestión de clientes inactivos</t>
  </si>
  <si>
    <t>Eliminar clientes que no esten activos o se encuentren duplicados</t>
  </si>
  <si>
    <t>Mantener un listado de clientes activos sin perder el historial de ventas</t>
  </si>
  <si>
    <t>REQ006</t>
  </si>
  <si>
    <t>Registro Clientes Potenciales</t>
  </si>
  <si>
    <t>Registrar personas interesadas en los productos</t>
  </si>
  <si>
    <t>Llevar un seguimiento organizado de posibles compradores</t>
  </si>
  <si>
    <t>REQ007</t>
  </si>
  <si>
    <t>Gestión de Clientes Potenciales</t>
  </si>
  <si>
    <t>Actualizar los datos de contacto y gestionar la baja de los clientes potenciales.</t>
  </si>
  <si>
    <t>Mantener actualizada la información de los clientes potenciales y controlar mejor quién sigue interesado y quién ya no.</t>
  </si>
  <si>
    <t>REQ008</t>
  </si>
  <si>
    <t xml:space="preserve">Registros de Ventas </t>
  </si>
  <si>
    <t>Registrar las ventas realizadas en el sistema.</t>
  </si>
  <si>
    <t>Conocer la ganancia del dia y obtener los productos vendidos</t>
  </si>
  <si>
    <t>REQ009</t>
  </si>
  <si>
    <t>Emisión Nota Venta</t>
  </si>
  <si>
    <t>Generar una nota de venta digital con el detalle de la compra para su impresión o entrega al cliente.</t>
  </si>
  <si>
    <t xml:space="preserve">Entregar un comprobante de la compra al cliente </t>
  </si>
  <si>
    <t>REQ010</t>
  </si>
  <si>
    <t>Exportar Reportes Excel</t>
  </si>
  <si>
    <t>Exportar los datos consolidados de ventas y clientes a un archivo Excel estructurado.</t>
  </si>
  <si>
    <t>Entender qué productos se venden más y el desempeño del negocio</t>
  </si>
  <si>
    <t>SPRINT 1</t>
  </si>
  <si>
    <t>Necesito</t>
  </si>
  <si>
    <t>así podre...</t>
  </si>
  <si>
    <t>Prioridad</t>
  </si>
  <si>
    <t>Status</t>
  </si>
  <si>
    <t>Navegacion por el  Sistema</t>
  </si>
  <si>
    <t>Administrador del Sistema</t>
  </si>
  <si>
    <t>Ingresar a gestionar y usar las opciones del aplicativo</t>
  </si>
  <si>
    <t>#intentos</t>
  </si>
  <si>
    <t>No iniciada</t>
  </si>
  <si>
    <t>Tareas</t>
  </si>
  <si>
    <t>Asignado</t>
  </si>
  <si>
    <t>Estimado</t>
  </si>
  <si>
    <t>REQ001-1</t>
  </si>
  <si>
    <t>Maquetación del Layout y Dashboard.</t>
  </si>
  <si>
    <t>Esteban Cuichan</t>
  </si>
  <si>
    <t>REQ001-2</t>
  </si>
  <si>
    <t>Configuración de Estilos e Identidad Visual.</t>
  </si>
  <si>
    <t>REQ001-3</t>
  </si>
  <si>
    <t>Programación de Eventos de Enrutamiento.</t>
  </si>
  <si>
    <t>REQ001-4</t>
  </si>
  <si>
    <t>Gestión de Estados y Memoria Visual.</t>
  </si>
  <si>
    <t>REQ001-5</t>
  </si>
  <si>
    <t>Pruebas de Integración de Navegación.</t>
  </si>
  <si>
    <t>Registros de Productos</t>
  </si>
  <si>
    <t>REQ002-1</t>
  </si>
  <si>
    <t>Johan Catota</t>
  </si>
  <si>
    <t>REQ002-2</t>
  </si>
  <si>
    <t>REQ002-3</t>
  </si>
  <si>
    <t>REQ002-4</t>
  </si>
  <si>
    <t>Ingresar los informacion necesaria de cada cliente (Cedula, Nombre,etc)</t>
  </si>
  <si>
    <t>Identificar correctamente a los compradores y su zona de entregas</t>
  </si>
  <si>
    <t>REQ003-1</t>
  </si>
  <si>
    <t>Katerine Caizaluisa</t>
  </si>
  <si>
    <t>REQ003-2</t>
  </si>
  <si>
    <t>REQ003-3</t>
  </si>
  <si>
    <t>REQ003-4</t>
  </si>
  <si>
    <t>Actualizacion de informacion de Clientes</t>
  </si>
  <si>
    <t>REQ004-1</t>
  </si>
  <si>
    <t>Conexión de la GUI con los metodos para la modificacion</t>
  </si>
  <si>
    <t>Eatan Ayala</t>
  </si>
  <si>
    <t>REQ004-2</t>
  </si>
  <si>
    <t>Visualizacion y Relleno de Datos al ingresar ID en la GUI</t>
  </si>
  <si>
    <t>REQ004-3</t>
  </si>
  <si>
    <t>Bloquear Campo ID, y permitir modificacion de los otros datos</t>
  </si>
  <si>
    <t>REQ004-4</t>
  </si>
  <si>
    <t>Modificacion de la informacion en la base de datos</t>
  </si>
  <si>
    <t>SPRINT 2</t>
  </si>
  <si>
    <t>CRUD CLIENTES</t>
  </si>
  <si>
    <t xml:space="preserve">Tareas </t>
  </si>
  <si>
    <t>REQ005-1</t>
  </si>
  <si>
    <t>Añadir un botón visual de "Eliminar"  dentro del listado de clientes activos</t>
  </si>
  <si>
    <t>REQ005-2</t>
  </si>
  <si>
    <t>Programar una ventana emergente para confirmar el borrado</t>
  </si>
  <si>
    <t>REQ005-3</t>
  </si>
  <si>
    <t>REQ006-1</t>
  </si>
  <si>
    <t xml:space="preserve">Conexión de la GUI con los metodos para el ingreso de datos </t>
  </si>
  <si>
    <t>REQ006-2</t>
  </si>
  <si>
    <t>Ingreso de datos para un posible cliente dependiendo el campo</t>
  </si>
  <si>
    <t>REQ006-3</t>
  </si>
  <si>
    <t>Asignacion del estado de "Posible Cliente"</t>
  </si>
  <si>
    <t>REQ006-4</t>
  </si>
  <si>
    <t>Insertar en la base de datos el cliente registrado</t>
  </si>
  <si>
    <t>REQ007-1</t>
  </si>
  <si>
    <t>REQ007-2</t>
  </si>
  <si>
    <t>REQ007-3</t>
  </si>
  <si>
    <t>REQ008-1</t>
  </si>
  <si>
    <t>Diseñar formulario de ventas</t>
  </si>
  <si>
    <t>REQ008-2</t>
  </si>
  <si>
    <t xml:space="preserve">Enlazar dropdown dinamico de productos </t>
  </si>
  <si>
    <t>REQ008-3</t>
  </si>
  <si>
    <t xml:space="preserve">Programacion Calculo automatico </t>
  </si>
  <si>
    <t>REQ008-4</t>
  </si>
  <si>
    <t>Programacion Guardar y registrar venta</t>
  </si>
  <si>
    <t>SPRINT 3</t>
  </si>
  <si>
    <t>Generacion de Comprobantes</t>
  </si>
  <si>
    <t>REQ009-1</t>
  </si>
  <si>
    <t>REQ009-2</t>
  </si>
  <si>
    <t>REQ009-3</t>
  </si>
  <si>
    <t>Evaluar la rentabilidad del negocio y el ranking de productos más vendidos mediante reportes ágiles.</t>
  </si>
  <si>
    <t>REQ0010-1</t>
  </si>
  <si>
    <t>Diseñar formulario de reportes</t>
  </si>
  <si>
    <t>REQ0010-2</t>
  </si>
  <si>
    <t xml:space="preserve">Programar filtros y consultas </t>
  </si>
  <si>
    <t>REQ0010-3</t>
  </si>
  <si>
    <t xml:space="preserve">Diseñar estructura de exportacion Excel </t>
  </si>
  <si>
    <t>REQ0010-4</t>
  </si>
  <si>
    <t xml:space="preserve">Generar graficos dinamicos automaticos </t>
  </si>
  <si>
    <t>Dia 7</t>
  </si>
  <si>
    <t>Dia 6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</si>
  <si>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</si>
  <si>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</si>
  <si>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</si>
  <si>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</si>
  <si>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</si>
  <si>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</si>
  <si>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</si>
  <si>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</si>
  <si>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 xml:space="preserve">Implementar un buscador de usuarios </t>
  </si>
  <si>
    <t xml:space="preserve">Habilitar la edición del formulario y desarrollar una función para cambiar estado </t>
  </si>
  <si>
    <t xml:space="preserve">Programar el guardado de los cambios del contacto en la base de datos </t>
  </si>
  <si>
    <t>Diseñar y estructurar la plantilla de impresión para la nota de venta</t>
  </si>
  <si>
    <t>Integrar dinámicamente los datos de la venta finalizada con info de las ventas</t>
  </si>
  <si>
    <t>Desarrollar la lógica del backend y del botón para generar y exportar en pdf</t>
  </si>
  <si>
    <t>Implementar una bandera lógica para marcar clientes como inactivos</t>
  </si>
  <si>
    <t>Navegacion ,Registro de Productos y Logica de Clientes</t>
  </si>
  <si>
    <t xml:space="preserve">Diseñar clase Producto </t>
  </si>
  <si>
    <t xml:space="preserve">Conexión a la Vista Principal </t>
  </si>
  <si>
    <t>Actualizacion de Tabla Productos</t>
  </si>
  <si>
    <t xml:space="preserve">Implementar CRUD Producto </t>
  </si>
  <si>
    <t> </t>
  </si>
  <si>
    <t>Dia 7 (31/05/2026)</t>
  </si>
  <si>
    <t>Dia 6 (30/05/2026)</t>
  </si>
  <si>
    <t>Dia 5 (29/05/2026)</t>
  </si>
  <si>
    <t>Dia 4 (28/05/2026)</t>
  </si>
  <si>
    <t>Dia 3 (27/05/2026)</t>
  </si>
  <si>
    <t>Dia 2  (26/05/2026)</t>
  </si>
  <si>
    <t>Dia 1 (25/05/2026)</t>
  </si>
  <si>
    <t>SPRINT 1  - Navegacion, Registro de Productos y Logica Clientes</t>
  </si>
  <si>
    <t>REQ011</t>
  </si>
  <si>
    <t>REQ001 - NAVEGACIÓN POR EL SISTEMA</t>
  </si>
  <si>
    <t xml:space="preserve">En ejecucion </t>
  </si>
  <si>
    <t>Diseño de la interfaz para el registro y edición de datos del cliente.</t>
  </si>
  <si>
    <t>REQ002 - REGISTRO DE PRODUCTOS</t>
  </si>
  <si>
    <t xml:space="preserve">aplicacion de la lógica de creación, modificación y eliminación de registros </t>
  </si>
  <si>
    <t>Integración del módulo de registros de clientes con otros módulos del sistema.</t>
  </si>
  <si>
    <t>Verificación y pruebas funcionales del proceso de registro de clientes.</t>
  </si>
  <si>
    <t>Almacenamiento en Excel</t>
  </si>
  <si>
    <t>Dejar de usar archivos de texto y gurdar los datos en Excel</t>
  </si>
  <si>
    <t>Abrir y revisar los datos del sistema de forma facil desde Excel</t>
  </si>
  <si>
    <t>REQ003 - REGISTRO DE CLIENTES</t>
  </si>
  <si>
    <t>Registro de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</si>
</sst>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  <scheme val="minor"/>
    </font>
    <font>
      <sz val="10"/>
      <color theme="4"/>
      <name val="Arial"/>
      <family val="2"/>
    </font>
    <font>
      <sz val="8"/>
      <color rgb="FF000000"/>
      <name val="Times New Roman"/>
      <family val="1"/>
    </font>
    <font>
      <sz val="8"/>
      <color theme="4"/>
      <name val="Times New Roman"/>
      <family val="1"/>
    </font>
    <font>
      <sz val="10"/>
      <color rgb="FF000000"/>
      <name val="Arial"/>
      <family val="2"/>
      <scheme val="minor"/>
    </font>
    <font>
      <b/>
      <sz val="10"/>
      <color rgb="FF000000"/>
      <name val="Arial"/>
      <scheme val="minor"/>
    </font>
    <font>
      <sz val="10"/>
      <color theme="4"/>
      <name val="Arial"/>
      <scheme val="minor"/>
    </font>
    <font>
      <sz val="10"/>
      <color rgb="FF000000"/>
      <name val="Arial"/>
      <scheme val="minor"/>
    </font>
    <font>
      <sz val="11"/>
      <color rgb="FF000000"/>
      <name val="Inconsolata"/>
    </font>
    <font>
      <sz val="12"/>
      <color rgb="FF000000"/>
      <name val="Arial"/>
      <family val="2"/>
      <scheme val="minor"/>
    </font>
    <font>
      <sz val="10"/>
      <color rgb="FF000000"/>
      <name val="Arial"/>
    </font>
    <font>
      <sz val="10"/>
      <color rgb="FF000000"/>
      <name val="Arial"/>
      <family val="2"/>
    </font>
    <font>
      <sz val="11"/>
      <color rgb="FF242424"/>
      <name val="Aptos Narrow"/>
      <charset val="1"/>
    </font>
  </fonts>
  <fills count="11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D966"/>
        <bgColor rgb="FF000000"/>
      </patternFill>
    </fill>
    <fill>
      <patternFill patternType="solid">
        <fgColor rgb="FF00FF00"/>
        <bgColor rgb="FF00000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2">
    <xf numFmtId="0" fontId="0" fillId="0" borderId="0"/>
    <xf numFmtId="0" fontId="11" fillId="0" borderId="1"/>
  </cellStyleXfs>
  <cellXfs count="68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0" fontId="1" fillId="0" borderId="0" xfId="0" applyFont="1"/>
    <xf numFmtId="0" fontId="5" fillId="0" borderId="0" xfId="0" applyFont="1"/>
    <xf numFmtId="0" fontId="0" fillId="0" borderId="1" xfId="0" applyBorder="1"/>
    <xf numFmtId="0" fontId="1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7" fillId="0" borderId="2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wrapText="1"/>
    </xf>
    <xf numFmtId="0" fontId="0" fillId="3" borderId="0" xfId="0" applyFill="1"/>
    <xf numFmtId="0" fontId="8" fillId="3" borderId="0" xfId="0" applyFont="1" applyFill="1"/>
    <xf numFmtId="0" fontId="8" fillId="0" borderId="0" xfId="0" applyFont="1"/>
    <xf numFmtId="0" fontId="0" fillId="0" borderId="0" xfId="0" applyAlignment="1">
      <alignment wrapText="1"/>
    </xf>
    <xf numFmtId="0" fontId="9" fillId="0" borderId="0" xfId="0" applyFont="1"/>
    <xf numFmtId="0" fontId="10" fillId="0" borderId="0" xfId="0" applyFont="1"/>
    <xf numFmtId="0" fontId="11" fillId="0" borderId="1" xfId="1"/>
    <xf numFmtId="0" fontId="2" fillId="0" borderId="1" xfId="1" applyFont="1"/>
    <xf numFmtId="0" fontId="0" fillId="8" borderId="0" xfId="0" applyFill="1"/>
    <xf numFmtId="0" fontId="0" fillId="3" borderId="4" xfId="0" applyFill="1" applyBorder="1"/>
    <xf numFmtId="0" fontId="0" fillId="3" borderId="4" xfId="0" applyFill="1" applyBorder="1" applyAlignment="1">
      <alignment horizontal="left" wrapText="1"/>
    </xf>
    <xf numFmtId="0" fontId="0" fillId="0" borderId="4" xfId="0" applyBorder="1"/>
    <xf numFmtId="0" fontId="1" fillId="0" borderId="4" xfId="0" applyFont="1" applyBorder="1" applyAlignment="1">
      <alignment horizontal="center"/>
    </xf>
    <xf numFmtId="0" fontId="2" fillId="2" borderId="4" xfId="0" applyFont="1" applyFill="1" applyBorder="1"/>
    <xf numFmtId="0" fontId="2" fillId="2" borderId="4" xfId="0" applyFont="1" applyFill="1" applyBorder="1" applyAlignment="1">
      <alignment horizontal="left" wrapText="1"/>
    </xf>
    <xf numFmtId="0" fontId="2" fillId="0" borderId="4" xfId="0" applyFont="1" applyBorder="1"/>
    <xf numFmtId="0" fontId="1" fillId="0" borderId="4" xfId="0" applyFont="1" applyBorder="1"/>
    <xf numFmtId="0" fontId="5" fillId="0" borderId="4" xfId="0" applyFont="1" applyBorder="1"/>
    <xf numFmtId="0" fontId="5" fillId="0" borderId="4" xfId="0" applyFont="1" applyBorder="1" applyAlignment="1">
      <alignment horizontal="left" vertical="top"/>
    </xf>
    <xf numFmtId="0" fontId="2" fillId="2" borderId="4" xfId="0" applyFont="1" applyFill="1" applyBorder="1" applyAlignment="1">
      <alignment wrapText="1"/>
    </xf>
    <xf numFmtId="0" fontId="0" fillId="0" borderId="4" xfId="0" applyBorder="1" applyAlignment="1">
      <alignment textRotation="90"/>
    </xf>
    <xf numFmtId="0" fontId="11" fillId="0" borderId="1" xfId="1" applyAlignment="1">
      <alignment wrapText="1"/>
    </xf>
    <xf numFmtId="0" fontId="2" fillId="0" borderId="2" xfId="1" applyFont="1" applyBorder="1" applyAlignment="1">
      <alignment horizontal="center" vertical="center"/>
    </xf>
    <xf numFmtId="0" fontId="0" fillId="0" borderId="0" xfId="0" applyFont="1"/>
    <xf numFmtId="0" fontId="0" fillId="0" borderId="4" xfId="0" applyFont="1" applyBorder="1"/>
    <xf numFmtId="0" fontId="11" fillId="0" borderId="2" xfId="1" applyBorder="1" applyAlignment="1">
      <alignment horizontal="center" vertical="center"/>
    </xf>
    <xf numFmtId="0" fontId="11" fillId="4" borderId="2" xfId="1" applyFill="1" applyBorder="1" applyAlignment="1">
      <alignment horizontal="center" vertical="center"/>
    </xf>
    <xf numFmtId="0" fontId="11" fillId="5" borderId="2" xfId="1" applyFill="1" applyBorder="1" applyAlignment="1">
      <alignment horizontal="center" vertical="center"/>
    </xf>
    <xf numFmtId="2" fontId="11" fillId="0" borderId="2" xfId="1" applyNumberFormat="1" applyBorder="1" applyAlignment="1">
      <alignment horizontal="center" vertical="center"/>
    </xf>
    <xf numFmtId="0" fontId="2" fillId="6" borderId="2" xfId="1" applyFont="1" applyFill="1" applyBorder="1" applyAlignment="1">
      <alignment horizontal="center" vertical="center"/>
    </xf>
    <xf numFmtId="0" fontId="11" fillId="0" borderId="1" xfId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9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center" vertical="center" wrapText="1"/>
    </xf>
    <xf numFmtId="11" fontId="15" fillId="0" borderId="2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9" fillId="0" borderId="4" xfId="0" applyFont="1" applyBorder="1"/>
    <xf numFmtId="0" fontId="16" fillId="0" borderId="0" xfId="0" applyFont="1"/>
    <xf numFmtId="0" fontId="12" fillId="7" borderId="7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3" fillId="0" borderId="4" xfId="0" applyFont="1" applyBorder="1"/>
    <xf numFmtId="0" fontId="4" fillId="0" borderId="4" xfId="0" applyFont="1" applyBorder="1"/>
    <xf numFmtId="0" fontId="2" fillId="0" borderId="4" xfId="0" applyFont="1" applyBorder="1" applyAlignment="1">
      <alignment horizontal="left"/>
    </xf>
    <xf numFmtId="0" fontId="13" fillId="0" borderId="1" xfId="1" applyFont="1" applyAlignment="1">
      <alignment horizontal="left" vertical="center" wrapText="1"/>
    </xf>
    <xf numFmtId="0" fontId="0" fillId="0" borderId="0" xfId="1" applyFont="1" applyBorder="1" applyAlignment="1">
      <alignment horizontal="center"/>
    </xf>
    <xf numFmtId="0" fontId="11" fillId="0" borderId="2" xfId="1" applyBorder="1" applyAlignment="1">
      <alignment horizontal="center" vertical="center"/>
    </xf>
    <xf numFmtId="0" fontId="11" fillId="0" borderId="2" xfId="1" applyBorder="1" applyAlignment="1">
      <alignment horizontal="center"/>
    </xf>
  </cellXfs>
  <cellStyles count="2">
    <cellStyle name="Normal" xfId="0" builtinId="0"/>
    <cellStyle name="Normal 2" xfId="1" xr:uid="{27F413C8-0966-4A49-84BA-E7F5075EB20D}"/>
  </cellStyles>
  <dxfs count="5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>
    <tableStyle name="burdonchart-style" pivot="0" count="3" xr9:uid="{00000000-0011-0000-FFFF-FFFF00000000}">
      <tableStyleElement type="headerRow" dxfId="4"/>
      <tableStyleElement type="firstRowStripe" dxfId="3"/>
      <tableStyleElement type="secondRowStripe" dxfId="2"/>
    </tableStyle>
    <tableStyle name="burdonchart-style 2" pivot="0" count="2" xr9:uid="{00000000-0011-0000-FFFF-FFFF01000000}">
      <tableStyleElement type="firstRowStripe" dxfId="1"/>
      <tableStyleElement type="secondRowStripe" dxfId="0"/>
    </tableStyle>
  </tableStyles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8442708739748"/>
          <c:y val="5.957500359401800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burdonchart!$B$11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burdonchart!$B$11:$J$11</c:f>
              <c:numCache>
                <c:formatCode>General</c:formatCode>
                <c:ptCount val="9"/>
                <c:pt idx="0">
                  <c:v>0</c:v>
                </c:pt>
                <c:pt idx="1">
                  <c:v>11.5</c:v>
                </c:pt>
                <c:pt idx="2">
                  <c:v>3.5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AF-4DB7-87C6-9E08B9664CAE}"/>
            </c:ext>
          </c:extLst>
        </c:ser>
        <c:ser>
          <c:idx val="1"/>
          <c:order val="1"/>
          <c:tx>
            <c:strRef>
              <c:f>burdonchart!$B$12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burdonchart!$B$12:$J$12</c:f>
              <c:numCache>
                <c:formatCode>General</c:formatCode>
                <c:ptCount val="9"/>
                <c:pt idx="0">
                  <c:v>0</c:v>
                </c:pt>
                <c:pt idx="1">
                  <c:v>11.5</c:v>
                </c:pt>
                <c:pt idx="2">
                  <c:v>9.8571428571428577</c:v>
                </c:pt>
                <c:pt idx="3">
                  <c:v>8.2142857142857153</c:v>
                </c:pt>
                <c:pt idx="4">
                  <c:v>6.571428571428573</c:v>
                </c:pt>
                <c:pt idx="5">
                  <c:v>4.9285714285714306</c:v>
                </c:pt>
                <c:pt idx="6">
                  <c:v>3.2857142857142878</c:v>
                </c:pt>
                <c:pt idx="7">
                  <c:v>1.642857142857145</c:v>
                </c:pt>
                <c:pt idx="8">
                  <c:v>2.2204460492503131E-15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AF-4DB7-87C6-9E08B9664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691280379510935"/>
          <c:y val="6.4945407791754339E-2"/>
          <c:w val="0.32647177466278937"/>
          <c:h val="9.00915732012691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8443570118071"/>
          <c:y val="8.4851710667693675E-2"/>
          <c:w val="0.85725389638909499"/>
          <c:h val="0.89700310797858562"/>
        </c:manualLayout>
      </c:layout>
      <c:lineChart>
        <c:grouping val="standard"/>
        <c:varyColors val="1"/>
        <c:ser>
          <c:idx val="0"/>
          <c:order val="0"/>
          <c:tx>
            <c:strRef>
              <c:f>burdonchart!$B$39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burdonchart!$C$39:$J$39</c:f>
              <c:numCache>
                <c:formatCode>General</c:formatCode>
                <c:ptCount val="8"/>
                <c:pt idx="0">
                  <c:v>11</c:v>
                </c:pt>
                <c:pt idx="1">
                  <c:v>4.5</c:v>
                </c:pt>
                <c:pt idx="2">
                  <c:v>2.5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17-4C94-B775-40E76D57638E}"/>
            </c:ext>
          </c:extLst>
        </c:ser>
        <c:ser>
          <c:idx val="1"/>
          <c:order val="1"/>
          <c:tx>
            <c:strRef>
              <c:f>burdonchart!$B$40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burdonchart!$C$40:$J$40</c:f>
              <c:numCache>
                <c:formatCode>General</c:formatCode>
                <c:ptCount val="8"/>
                <c:pt idx="0">
                  <c:v>11</c:v>
                </c:pt>
                <c:pt idx="1">
                  <c:v>9.4285714285714288</c:v>
                </c:pt>
                <c:pt idx="2">
                  <c:v>7.8571428571428577</c:v>
                </c:pt>
                <c:pt idx="3">
                  <c:v>6.2857142857142865</c:v>
                </c:pt>
                <c:pt idx="4">
                  <c:v>4.7142857142857153</c:v>
                </c:pt>
                <c:pt idx="5">
                  <c:v>3.1428571428571441</c:v>
                </c:pt>
                <c:pt idx="6">
                  <c:v>1.5714285714285727</c:v>
                </c:pt>
                <c:pt idx="7" formatCode="0.00E+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17-4C94-B775-40E76D576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7978847313259284"/>
          <c:y val="9.4015285988905004E-2"/>
          <c:w val="0.34655011683084264"/>
          <c:h val="9.3520272658232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3041653347417E-2"/>
          <c:y val="0.10816157481160869"/>
          <c:w val="0.91704057854187804"/>
          <c:h val="0.59617110781596094"/>
        </c:manualLayout>
      </c:layout>
      <c:lineChart>
        <c:grouping val="standard"/>
        <c:varyColors val="0"/>
        <c:ser>
          <c:idx val="0"/>
          <c:order val="0"/>
          <c:tx>
            <c:strRef>
              <c:f>burdonchart!$B$69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burdonchart!$C$69:$J$69</c:f>
              <c:numCache>
                <c:formatCode>General</c:formatCode>
                <c:ptCount val="8"/>
                <c:pt idx="0">
                  <c:v>9</c:v>
                </c:pt>
                <c:pt idx="1">
                  <c:v>1.5</c:v>
                </c:pt>
                <c:pt idx="2">
                  <c:v>3.5</c:v>
                </c:pt>
                <c:pt idx="3">
                  <c:v>1</c:v>
                </c:pt>
                <c:pt idx="4">
                  <c:v>0.5</c:v>
                </c:pt>
                <c:pt idx="5">
                  <c:v>1.5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67-47DB-868F-5C329E667D1F}"/>
            </c:ext>
          </c:extLst>
        </c:ser>
        <c:ser>
          <c:idx val="1"/>
          <c:order val="1"/>
          <c:tx>
            <c:strRef>
              <c:f>burdonchart!$B$70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burdonchart!$C$70:$J$70</c:f>
              <c:numCache>
                <c:formatCode>General</c:formatCode>
                <c:ptCount val="8"/>
                <c:pt idx="0">
                  <c:v>9</c:v>
                </c:pt>
                <c:pt idx="1">
                  <c:v>7.7142857142857144</c:v>
                </c:pt>
                <c:pt idx="2">
                  <c:v>6.4285714285714288</c:v>
                </c:pt>
                <c:pt idx="3">
                  <c:v>5.1428571428571432</c:v>
                </c:pt>
                <c:pt idx="4">
                  <c:v>3.8571428571428577</c:v>
                </c:pt>
                <c:pt idx="5">
                  <c:v>2.5714285714285721</c:v>
                </c:pt>
                <c:pt idx="6">
                  <c:v>1.2857142857142863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67-47DB-868F-5C329E667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5104976"/>
        <c:axId val="1855099568"/>
      </c:lineChart>
      <c:catAx>
        <c:axId val="18551049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855099568"/>
        <c:crosses val="autoZero"/>
        <c:auto val="1"/>
        <c:lblAlgn val="ctr"/>
        <c:lblOffset val="100"/>
        <c:noMultiLvlLbl val="0"/>
      </c:catAx>
      <c:valAx>
        <c:axId val="185509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85510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burdonchart!$B$98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burdonchart!$C$98:$J$98</c:f>
              <c:numCache>
                <c:formatCode>General</c:formatCode>
                <c:ptCount val="8"/>
                <c:pt idx="0">
                  <c:v>5.5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0.5</c:v>
                </c:pt>
                <c:pt idx="5">
                  <c:v>1</c:v>
                </c:pt>
                <c:pt idx="6">
                  <c:v>0.5</c:v>
                </c:pt>
                <c:pt idx="7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68-45F4-BAE9-820107BB2949}"/>
            </c:ext>
          </c:extLst>
        </c:ser>
        <c:ser>
          <c:idx val="1"/>
          <c:order val="1"/>
          <c:tx>
            <c:strRef>
              <c:f>burdonchart!$B$99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burdonchart!$C$99:$J$99</c:f>
              <c:numCache>
                <c:formatCode>General</c:formatCode>
                <c:ptCount val="8"/>
                <c:pt idx="0">
                  <c:v>5.5</c:v>
                </c:pt>
                <c:pt idx="1">
                  <c:v>4.7142857142857144</c:v>
                </c:pt>
                <c:pt idx="2">
                  <c:v>3.9285714285714288</c:v>
                </c:pt>
                <c:pt idx="3">
                  <c:v>3.1428571428571432</c:v>
                </c:pt>
                <c:pt idx="4">
                  <c:v>2.3571428571428577</c:v>
                </c:pt>
                <c:pt idx="5">
                  <c:v>1.5714285714285721</c:v>
                </c:pt>
                <c:pt idx="6">
                  <c:v>0.78571428571428636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68-45F4-BAE9-820107BB2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7510080"/>
        <c:axId val="1817510496"/>
      </c:lineChart>
      <c:catAx>
        <c:axId val="18175100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817510496"/>
        <c:crosses val="autoZero"/>
        <c:auto val="1"/>
        <c:lblAlgn val="ctr"/>
        <c:lblOffset val="100"/>
        <c:noMultiLvlLbl val="0"/>
      </c:catAx>
      <c:valAx>
        <c:axId val="181751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81751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472185</xdr:colOff>
      <xdr:row>12</xdr:row>
      <xdr:rowOff>169811</xdr:rowOff>
    </xdr:from>
    <xdr:ext cx="9065773" cy="3517077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5EEF0C3E-7660-4A7B-ACCC-70DD13247C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2</xdr:col>
      <xdr:colOff>375429</xdr:colOff>
      <xdr:row>12</xdr:row>
      <xdr:rowOff>116242</xdr:rowOff>
    </xdr:from>
    <xdr:to>
      <xdr:col>8</xdr:col>
      <xdr:colOff>492450</xdr:colOff>
      <xdr:row>13</xdr:row>
      <xdr:rowOff>187907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F7DB4B97-485A-6F7E-2651-A0CDB1EFA0AB}"/>
            </a:ext>
          </a:extLst>
        </xdr:cNvPr>
        <xdr:cNvSpPr txBox="1"/>
      </xdr:nvSpPr>
      <xdr:spPr>
        <a:xfrm>
          <a:off x="2980225" y="2643283"/>
          <a:ext cx="5624674" cy="2660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REQ001</a:t>
          </a:r>
          <a:r>
            <a:rPr lang="es-EC" sz="16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NAVEGACIÓN POR EL SISTEMA</a:t>
          </a:r>
          <a:endParaRPr lang="es-EC" sz="16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oneCellAnchor>
    <xdr:from>
      <xdr:col>1</xdr:col>
      <xdr:colOff>501730</xdr:colOff>
      <xdr:row>40</xdr:row>
      <xdr:rowOff>141112</xdr:rowOff>
    </xdr:from>
    <xdr:ext cx="8137406" cy="3517077"/>
    <xdr:graphicFrame macro="">
      <xdr:nvGraphicFramePr>
        <xdr:cNvPr id="64" name="Chart 1" title="Gráfico">
          <a:extLst>
            <a:ext uri="{FF2B5EF4-FFF2-40B4-BE49-F238E27FC236}">
              <a16:creationId xmlns:a16="http://schemas.microsoft.com/office/drawing/2014/main" id="{A5763812-8B3A-4F7E-8858-B844F451C085}"/>
            </a:ext>
            <a:ext uri="{147F2762-F138-4A5C-976F-8EAC2B608ADB}">
              <a16:predDERef xmlns:a16="http://schemas.microsoft.com/office/drawing/2014/main" pred="{F7DB4B97-485A-6F7E-2651-A0CDB1EFA0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twoCellAnchor>
    <xdr:from>
      <xdr:col>2</xdr:col>
      <xdr:colOff>611481</xdr:colOff>
      <xdr:row>40</xdr:row>
      <xdr:rowOff>156790</xdr:rowOff>
    </xdr:from>
    <xdr:to>
      <xdr:col>8</xdr:col>
      <xdr:colOff>728502</xdr:colOff>
      <xdr:row>42</xdr:row>
      <xdr:rowOff>32468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2F222126-8194-49D1-9563-4AAA2EF0AEE8}"/>
            </a:ext>
          </a:extLst>
        </xdr:cNvPr>
        <xdr:cNvSpPr txBox="1"/>
      </xdr:nvSpPr>
      <xdr:spPr>
        <a:xfrm>
          <a:off x="3214197" y="8490185"/>
          <a:ext cx="5643873" cy="2676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REQ002</a:t>
          </a:r>
          <a:r>
            <a:rPr lang="es-EC" sz="16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REGISTRO DE PRODUCTOS</a:t>
          </a:r>
          <a:endParaRPr lang="es-EC" sz="16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</xdr:col>
      <xdr:colOff>1353490</xdr:colOff>
      <xdr:row>72</xdr:row>
      <xdr:rowOff>152870</xdr:rowOff>
    </xdr:from>
    <xdr:to>
      <xdr:col>9</xdr:col>
      <xdr:colOff>188148</xdr:colOff>
      <xdr:row>89</xdr:row>
      <xdr:rowOff>35277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455D89E-75BA-4A25-8F92-AEB48C1EAB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744754</xdr:colOff>
      <xdr:row>100</xdr:row>
      <xdr:rowOff>168549</xdr:rowOff>
    </xdr:from>
    <xdr:to>
      <xdr:col>8</xdr:col>
      <xdr:colOff>861775</xdr:colOff>
      <xdr:row>102</xdr:row>
      <xdr:rowOff>40306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139B3D90-5A0C-4C87-B051-40939E8D6ACB}"/>
            </a:ext>
          </a:extLst>
        </xdr:cNvPr>
        <xdr:cNvSpPr txBox="1"/>
      </xdr:nvSpPr>
      <xdr:spPr>
        <a:xfrm>
          <a:off x="3225958" y="21382253"/>
          <a:ext cx="5373410" cy="2715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REQ004</a:t>
          </a:r>
          <a:r>
            <a:rPr lang="es-EC" sz="16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ACTUALIZACIÓN DE CLIENTES</a:t>
          </a:r>
          <a:endParaRPr lang="es-EC" sz="16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</xdr:col>
      <xdr:colOff>96309</xdr:colOff>
      <xdr:row>72</xdr:row>
      <xdr:rowOff>172468</xdr:rowOff>
    </xdr:from>
    <xdr:to>
      <xdr:col>8</xdr:col>
      <xdr:colOff>222855</xdr:colOff>
      <xdr:row>74</xdr:row>
      <xdr:rowOff>44225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866283CF-5075-411C-ACCF-2188A73D43CB}"/>
            </a:ext>
          </a:extLst>
        </xdr:cNvPr>
        <xdr:cNvSpPr txBox="1"/>
      </xdr:nvSpPr>
      <xdr:spPr>
        <a:xfrm>
          <a:off x="2577513" y="15530061"/>
          <a:ext cx="5382935" cy="2715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REQ003</a:t>
          </a:r>
          <a:r>
            <a:rPr lang="es-EC" sz="16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REGISTRO DE CLIENTES</a:t>
          </a:r>
          <a:endParaRPr lang="es-EC" sz="16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</xdr:col>
      <xdr:colOff>624416</xdr:colOff>
      <xdr:row>102</xdr:row>
      <xdr:rowOff>168861</xdr:rowOff>
    </xdr:from>
    <xdr:to>
      <xdr:col>9</xdr:col>
      <xdr:colOff>1046573</xdr:colOff>
      <xdr:row>123</xdr:row>
      <xdr:rowOff>58795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5FCE29B-DF36-4031-8658-6E0744F19F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996"/>
  <sheetViews>
    <sheetView topLeftCell="C4" zoomScale="118" zoomScaleNormal="80" workbookViewId="0">
      <selection activeCell="A12" sqref="A12:H12"/>
    </sheetView>
  </sheetViews>
  <sheetFormatPr baseColWidth="10" defaultColWidth="12.5703125" defaultRowHeight="15" customHeight="1"/>
  <cols>
    <col min="1" max="1" width="12.5703125" customWidth="1"/>
    <col min="2" max="2" width="34.85546875" bestFit="1" customWidth="1"/>
    <col min="3" max="3" width="19.7109375" customWidth="1"/>
    <col min="4" max="4" width="65" customWidth="1"/>
    <col min="5" max="5" width="45.5703125" customWidth="1"/>
    <col min="6" max="6" width="12.5703125" customWidth="1"/>
  </cols>
  <sheetData>
    <row r="1" spans="1:9" ht="15.7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9" ht="20.100000000000001" customHeight="1">
      <c r="A2" s="7" t="s">
        <v>8</v>
      </c>
      <c r="B2" s="7" t="s">
        <v>9</v>
      </c>
      <c r="C2" s="7" t="s">
        <v>10</v>
      </c>
      <c r="D2" s="7" t="s">
        <v>11</v>
      </c>
      <c r="E2" s="7" t="s">
        <v>12</v>
      </c>
      <c r="F2" s="10" t="s">
        <v>13</v>
      </c>
      <c r="G2" s="7" t="s">
        <v>14</v>
      </c>
      <c r="H2" s="7" t="s">
        <v>173</v>
      </c>
      <c r="I2" s="5"/>
    </row>
    <row r="3" spans="1:9" ht="20.100000000000001" customHeight="1">
      <c r="A3" s="7" t="s">
        <v>16</v>
      </c>
      <c r="B3" s="7" t="s">
        <v>17</v>
      </c>
      <c r="C3" s="7" t="s">
        <v>10</v>
      </c>
      <c r="D3" s="7" t="s">
        <v>18</v>
      </c>
      <c r="E3" s="7" t="s">
        <v>19</v>
      </c>
      <c r="F3" s="10" t="s">
        <v>13</v>
      </c>
      <c r="G3" s="7" t="s">
        <v>14</v>
      </c>
      <c r="H3" s="7" t="s">
        <v>173</v>
      </c>
      <c r="I3" s="5"/>
    </row>
    <row r="4" spans="1:9" ht="20.100000000000001" customHeight="1">
      <c r="A4" s="7" t="s">
        <v>20</v>
      </c>
      <c r="B4" s="7" t="s">
        <v>21</v>
      </c>
      <c r="C4" s="7" t="s">
        <v>10</v>
      </c>
      <c r="D4" s="7" t="s">
        <v>22</v>
      </c>
      <c r="E4" s="7" t="s">
        <v>23</v>
      </c>
      <c r="F4" s="10" t="s">
        <v>13</v>
      </c>
      <c r="G4" s="7" t="s">
        <v>14</v>
      </c>
      <c r="H4" s="7" t="s">
        <v>173</v>
      </c>
      <c r="I4" s="5"/>
    </row>
    <row r="5" spans="1:9" ht="20.100000000000001" customHeight="1">
      <c r="A5" s="7" t="s">
        <v>24</v>
      </c>
      <c r="B5" s="7" t="s">
        <v>25</v>
      </c>
      <c r="C5" s="7" t="s">
        <v>10</v>
      </c>
      <c r="D5" s="7" t="s">
        <v>26</v>
      </c>
      <c r="E5" s="7" t="s">
        <v>27</v>
      </c>
      <c r="F5" s="10" t="s">
        <v>13</v>
      </c>
      <c r="G5" s="7" t="s">
        <v>14</v>
      </c>
      <c r="H5" s="7" t="s">
        <v>173</v>
      </c>
      <c r="I5" s="5"/>
    </row>
    <row r="6" spans="1:9" ht="20.100000000000001" customHeight="1">
      <c r="A6" s="7" t="s">
        <v>28</v>
      </c>
      <c r="B6" s="7" t="s">
        <v>29</v>
      </c>
      <c r="C6" s="7" t="s">
        <v>10</v>
      </c>
      <c r="D6" s="7" t="s">
        <v>30</v>
      </c>
      <c r="E6" s="7" t="s">
        <v>31</v>
      </c>
      <c r="F6" s="10" t="s">
        <v>13</v>
      </c>
      <c r="G6" s="7" t="s">
        <v>14</v>
      </c>
      <c r="H6" s="7" t="s">
        <v>15</v>
      </c>
    </row>
    <row r="7" spans="1:9" ht="20.100000000000001" customHeight="1">
      <c r="A7" s="7" t="s">
        <v>32</v>
      </c>
      <c r="B7" s="7" t="s">
        <v>33</v>
      </c>
      <c r="C7" s="7" t="s">
        <v>10</v>
      </c>
      <c r="D7" s="7" t="s">
        <v>34</v>
      </c>
      <c r="E7" s="7" t="s">
        <v>35</v>
      </c>
      <c r="F7" s="10" t="s">
        <v>13</v>
      </c>
      <c r="G7" s="7" t="s">
        <v>14</v>
      </c>
      <c r="H7" s="7" t="s">
        <v>15</v>
      </c>
      <c r="I7" s="5"/>
    </row>
    <row r="8" spans="1:9" ht="20.100000000000001" customHeight="1">
      <c r="A8" s="7" t="s">
        <v>36</v>
      </c>
      <c r="B8" s="7" t="s">
        <v>37</v>
      </c>
      <c r="C8" s="7" t="s">
        <v>10</v>
      </c>
      <c r="D8" s="7" t="s">
        <v>38</v>
      </c>
      <c r="E8" s="7" t="s">
        <v>39</v>
      </c>
      <c r="F8" s="10" t="s">
        <v>13</v>
      </c>
      <c r="G8" s="7" t="s">
        <v>14</v>
      </c>
      <c r="H8" s="7" t="s">
        <v>15</v>
      </c>
    </row>
    <row r="9" spans="1:9" ht="20.100000000000001" customHeight="1">
      <c r="A9" s="7" t="s">
        <v>40</v>
      </c>
      <c r="B9" s="8" t="s">
        <v>41</v>
      </c>
      <c r="C9" s="7" t="s">
        <v>10</v>
      </c>
      <c r="D9" s="7" t="s">
        <v>42</v>
      </c>
      <c r="E9" s="7" t="s">
        <v>43</v>
      </c>
      <c r="F9" s="10" t="s">
        <v>13</v>
      </c>
      <c r="G9" s="7" t="s">
        <v>14</v>
      </c>
      <c r="H9" s="7" t="s">
        <v>15</v>
      </c>
      <c r="I9" s="5"/>
    </row>
    <row r="10" spans="1:9" ht="20.100000000000001" customHeight="1">
      <c r="A10" s="7" t="s">
        <v>44</v>
      </c>
      <c r="B10" s="8" t="s">
        <v>179</v>
      </c>
      <c r="C10" s="7" t="s">
        <v>10</v>
      </c>
      <c r="D10" s="7" t="s">
        <v>180</v>
      </c>
      <c r="E10" s="7" t="s">
        <v>181</v>
      </c>
      <c r="F10" s="10"/>
      <c r="G10" s="7" t="s">
        <v>14</v>
      </c>
      <c r="H10" s="7" t="s">
        <v>15</v>
      </c>
      <c r="I10" s="5"/>
    </row>
    <row r="11" spans="1:9" ht="20.100000000000001" customHeight="1">
      <c r="A11" s="7" t="s">
        <v>48</v>
      </c>
      <c r="B11" s="7" t="s">
        <v>45</v>
      </c>
      <c r="C11" s="7" t="s">
        <v>10</v>
      </c>
      <c r="D11" s="7" t="s">
        <v>46</v>
      </c>
      <c r="E11" s="7" t="s">
        <v>47</v>
      </c>
      <c r="F11" s="10" t="s">
        <v>13</v>
      </c>
      <c r="G11" s="7" t="s">
        <v>14</v>
      </c>
      <c r="H11" s="7" t="s">
        <v>15</v>
      </c>
      <c r="I11" s="5"/>
    </row>
    <row r="12" spans="1:9" ht="15.75" customHeight="1">
      <c r="A12" s="7" t="s">
        <v>171</v>
      </c>
      <c r="B12" s="7" t="s">
        <v>49</v>
      </c>
      <c r="C12" s="7" t="s">
        <v>10</v>
      </c>
      <c r="D12" s="7" t="s">
        <v>50</v>
      </c>
      <c r="E12" s="7" t="s">
        <v>51</v>
      </c>
      <c r="F12" s="10" t="s">
        <v>13</v>
      </c>
      <c r="G12" s="7" t="s">
        <v>14</v>
      </c>
      <c r="H12" s="7" t="s">
        <v>15</v>
      </c>
      <c r="I12" s="5"/>
    </row>
    <row r="13" spans="1:9" ht="15.75" customHeight="1">
      <c r="A13" s="5"/>
      <c r="B13" s="5"/>
      <c r="C13" s="5"/>
      <c r="D13" s="5"/>
      <c r="E13" s="5"/>
      <c r="F13" s="5"/>
      <c r="G13" s="5"/>
      <c r="H13" s="5"/>
    </row>
    <row r="14" spans="1:9" ht="15.75" customHeight="1"/>
    <row r="15" spans="1:9" ht="15.75" customHeight="1"/>
    <row r="16" spans="1:9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965"/>
  <sheetViews>
    <sheetView topLeftCell="A22" zoomScale="90" zoomScaleNormal="90" workbookViewId="0">
      <selection activeCell="C18" sqref="C18"/>
    </sheetView>
  </sheetViews>
  <sheetFormatPr baseColWidth="10" defaultColWidth="12.5703125" defaultRowHeight="15" customHeight="1"/>
  <cols>
    <col min="1" max="1" width="12.5703125" customWidth="1"/>
    <col min="2" max="2" width="41.42578125" customWidth="1"/>
    <col min="3" max="3" width="69.42578125" customWidth="1"/>
    <col min="4" max="4" width="28.5703125" customWidth="1"/>
    <col min="5" max="5" width="52.140625" customWidth="1"/>
    <col min="6" max="6" width="56.140625" customWidth="1"/>
    <col min="7" max="7" width="29" bestFit="1" customWidth="1"/>
  </cols>
  <sheetData>
    <row r="1" spans="1:9" ht="23.25" customHeight="1"/>
    <row r="2" spans="1:9" ht="32.25" customHeight="1">
      <c r="A2" s="21" t="s">
        <v>52</v>
      </c>
      <c r="B2" s="22" t="s">
        <v>157</v>
      </c>
      <c r="C2" s="21"/>
      <c r="D2" s="21"/>
      <c r="E2" s="21"/>
      <c r="F2" s="21"/>
      <c r="G2" s="21"/>
      <c r="H2" s="21"/>
      <c r="I2" s="21"/>
    </row>
    <row r="3" spans="1:9" ht="15.75" customHeight="1">
      <c r="A3" s="23"/>
      <c r="B3" s="24" t="s">
        <v>0</v>
      </c>
      <c r="C3" s="24" t="s">
        <v>1</v>
      </c>
      <c r="D3" s="24" t="s">
        <v>2</v>
      </c>
      <c r="E3" s="24" t="s">
        <v>53</v>
      </c>
      <c r="F3" s="24" t="s">
        <v>54</v>
      </c>
      <c r="G3" s="24" t="s">
        <v>5</v>
      </c>
      <c r="H3" s="24" t="s">
        <v>55</v>
      </c>
      <c r="I3" s="24" t="s">
        <v>56</v>
      </c>
    </row>
    <row r="4" spans="1:9" ht="35.25" customHeight="1">
      <c r="A4" s="23"/>
      <c r="B4" s="25" t="s">
        <v>8</v>
      </c>
      <c r="C4" s="25" t="s">
        <v>57</v>
      </c>
      <c r="D4" s="25" t="s">
        <v>58</v>
      </c>
      <c r="E4" s="26" t="s">
        <v>11</v>
      </c>
      <c r="F4" s="25" t="s">
        <v>59</v>
      </c>
      <c r="G4" s="25" t="s">
        <v>60</v>
      </c>
      <c r="H4" s="25" t="s">
        <v>14</v>
      </c>
      <c r="I4" s="25" t="s">
        <v>61</v>
      </c>
    </row>
    <row r="5" spans="1:9" ht="15.75" customHeight="1">
      <c r="A5" s="23"/>
      <c r="B5" s="27"/>
      <c r="C5" s="28" t="s">
        <v>62</v>
      </c>
      <c r="D5" s="27"/>
      <c r="E5" s="27"/>
      <c r="F5" s="27"/>
      <c r="G5" s="28" t="s">
        <v>63</v>
      </c>
      <c r="H5" s="27"/>
      <c r="I5" s="28" t="s">
        <v>64</v>
      </c>
    </row>
    <row r="6" spans="1:9" ht="15.75" customHeight="1">
      <c r="A6" s="23"/>
      <c r="B6" s="29" t="s">
        <v>65</v>
      </c>
      <c r="C6" s="61" t="s">
        <v>66</v>
      </c>
      <c r="D6" s="62"/>
      <c r="E6" s="62"/>
      <c r="F6" s="62"/>
      <c r="G6" s="27" t="s">
        <v>67</v>
      </c>
      <c r="H6" s="27"/>
      <c r="I6" s="23">
        <v>1</v>
      </c>
    </row>
    <row r="7" spans="1:9" ht="15.75" customHeight="1">
      <c r="A7" s="23"/>
      <c r="B7" s="29" t="s">
        <v>68</v>
      </c>
      <c r="C7" s="61" t="s">
        <v>69</v>
      </c>
      <c r="D7" s="62"/>
      <c r="E7" s="62"/>
      <c r="F7" s="62"/>
      <c r="G7" s="27" t="s">
        <v>67</v>
      </c>
      <c r="H7" s="27"/>
      <c r="I7" s="23">
        <v>3</v>
      </c>
    </row>
    <row r="8" spans="1:9" ht="15.75" customHeight="1">
      <c r="A8" s="23"/>
      <c r="B8" s="29" t="s">
        <v>70</v>
      </c>
      <c r="C8" s="61" t="s">
        <v>71</v>
      </c>
      <c r="D8" s="62"/>
      <c r="E8" s="62"/>
      <c r="F8" s="62"/>
      <c r="G8" s="27" t="s">
        <v>67</v>
      </c>
      <c r="H8" s="27"/>
      <c r="I8" s="23">
        <v>4</v>
      </c>
    </row>
    <row r="9" spans="1:9" ht="15.75" customHeight="1">
      <c r="A9" s="23"/>
      <c r="B9" s="30" t="s">
        <v>72</v>
      </c>
      <c r="C9" s="63" t="s">
        <v>73</v>
      </c>
      <c r="D9" s="63"/>
      <c r="E9" s="63"/>
      <c r="F9" s="63"/>
      <c r="G9" s="27" t="s">
        <v>67</v>
      </c>
      <c r="H9" s="24"/>
      <c r="I9" s="23">
        <v>3</v>
      </c>
    </row>
    <row r="10" spans="1:9" ht="15.75" customHeight="1">
      <c r="A10" s="23"/>
      <c r="B10" s="30" t="s">
        <v>74</v>
      </c>
      <c r="C10" s="63" t="s">
        <v>75</v>
      </c>
      <c r="D10" s="63"/>
      <c r="E10" s="63"/>
      <c r="F10" s="63"/>
      <c r="G10" s="27" t="s">
        <v>67</v>
      </c>
      <c r="H10" s="24"/>
      <c r="I10" s="23">
        <v>0.5</v>
      </c>
    </row>
    <row r="11" spans="1:9" ht="27" customHeight="1">
      <c r="A11" s="23"/>
      <c r="B11" s="25" t="s">
        <v>16</v>
      </c>
      <c r="C11" s="25" t="s">
        <v>76</v>
      </c>
      <c r="D11" s="25" t="s">
        <v>58</v>
      </c>
      <c r="E11" s="26" t="s">
        <v>18</v>
      </c>
      <c r="F11" s="31" t="s">
        <v>19</v>
      </c>
      <c r="G11" s="25" t="s">
        <v>60</v>
      </c>
      <c r="H11" s="25" t="s">
        <v>14</v>
      </c>
      <c r="I11" s="25" t="s">
        <v>61</v>
      </c>
    </row>
    <row r="12" spans="1:9" ht="15.75" customHeight="1">
      <c r="A12" s="23"/>
      <c r="B12" s="27"/>
      <c r="C12" s="28" t="s">
        <v>62</v>
      </c>
      <c r="D12" s="27"/>
      <c r="E12" s="27"/>
      <c r="F12" s="27"/>
      <c r="G12" s="28" t="s">
        <v>63</v>
      </c>
      <c r="H12" s="27"/>
      <c r="I12" s="28" t="s">
        <v>64</v>
      </c>
    </row>
    <row r="13" spans="1:9" ht="15.75" customHeight="1">
      <c r="A13" s="23"/>
      <c r="B13" s="29" t="s">
        <v>77</v>
      </c>
      <c r="C13" s="23" t="s">
        <v>158</v>
      </c>
      <c r="D13" s="23"/>
      <c r="E13" s="23"/>
      <c r="F13" s="23"/>
      <c r="G13" s="27" t="s">
        <v>78</v>
      </c>
      <c r="H13" s="23"/>
      <c r="I13" s="23">
        <v>1.5</v>
      </c>
    </row>
    <row r="14" spans="1:9" ht="15.75" customHeight="1">
      <c r="A14" s="23"/>
      <c r="B14" s="29" t="s">
        <v>79</v>
      </c>
      <c r="C14" s="23" t="s">
        <v>161</v>
      </c>
      <c r="D14" s="23"/>
      <c r="E14" s="23"/>
      <c r="F14" s="23"/>
      <c r="G14" s="27" t="s">
        <v>78</v>
      </c>
      <c r="H14" s="23"/>
      <c r="I14" s="23">
        <v>4</v>
      </c>
    </row>
    <row r="15" spans="1:9" ht="15" customHeight="1">
      <c r="A15" s="23"/>
      <c r="B15" s="29" t="s">
        <v>80</v>
      </c>
      <c r="C15" s="23" t="s">
        <v>159</v>
      </c>
      <c r="D15" s="23"/>
      <c r="E15" s="23"/>
      <c r="F15" s="23"/>
      <c r="G15" s="27" t="s">
        <v>78</v>
      </c>
      <c r="H15" s="23"/>
      <c r="I15" s="23">
        <v>3</v>
      </c>
    </row>
    <row r="16" spans="1:9" ht="14.25" customHeight="1">
      <c r="A16" s="23"/>
      <c r="B16" s="29" t="s">
        <v>81</v>
      </c>
      <c r="C16" s="23" t="s">
        <v>160</v>
      </c>
      <c r="D16" s="23"/>
      <c r="E16" s="23"/>
      <c r="F16" s="23"/>
      <c r="G16" s="27" t="s">
        <v>78</v>
      </c>
      <c r="H16" s="23"/>
      <c r="I16" s="23">
        <v>2.5</v>
      </c>
    </row>
    <row r="17" spans="1:9" ht="23.25" customHeight="1">
      <c r="A17" s="23"/>
      <c r="B17" s="25" t="s">
        <v>20</v>
      </c>
      <c r="C17" s="25" t="s">
        <v>183</v>
      </c>
      <c r="D17" s="25" t="s">
        <v>58</v>
      </c>
      <c r="E17" s="26" t="s">
        <v>82</v>
      </c>
      <c r="F17" s="25" t="s">
        <v>83</v>
      </c>
      <c r="G17" s="25" t="s">
        <v>60</v>
      </c>
      <c r="H17" s="25" t="s">
        <v>14</v>
      </c>
      <c r="I17" s="25" t="s">
        <v>61</v>
      </c>
    </row>
    <row r="18" spans="1:9" ht="15.75" customHeight="1">
      <c r="A18" s="23"/>
      <c r="B18" s="23"/>
      <c r="C18" s="55" t="s">
        <v>62</v>
      </c>
      <c r="D18" s="23"/>
      <c r="E18" s="23"/>
      <c r="F18" s="23"/>
      <c r="G18" s="28" t="s">
        <v>63</v>
      </c>
      <c r="H18" s="23"/>
      <c r="I18" s="28" t="s">
        <v>64</v>
      </c>
    </row>
    <row r="19" spans="1:9" ht="15.75" customHeight="1">
      <c r="A19" s="23"/>
      <c r="B19" s="29" t="s">
        <v>84</v>
      </c>
      <c r="C19" s="35" t="s">
        <v>174</v>
      </c>
      <c r="D19" s="23"/>
      <c r="F19" s="23"/>
      <c r="G19" s="27" t="s">
        <v>85</v>
      </c>
      <c r="H19" s="23"/>
      <c r="I19" s="23">
        <v>3.5</v>
      </c>
    </row>
    <row r="20" spans="1:9" ht="15.75" customHeight="1">
      <c r="A20" s="23"/>
      <c r="B20" s="29" t="s">
        <v>86</v>
      </c>
      <c r="C20" s="36" t="s">
        <v>176</v>
      </c>
      <c r="D20" s="23"/>
      <c r="E20" s="23"/>
      <c r="F20" s="23"/>
      <c r="G20" s="27" t="s">
        <v>85</v>
      </c>
      <c r="H20" s="23"/>
      <c r="I20" s="23">
        <v>2</v>
      </c>
    </row>
    <row r="21" spans="1:9" ht="15.75" customHeight="1">
      <c r="A21" s="23"/>
      <c r="B21" s="29" t="s">
        <v>87</v>
      </c>
      <c r="C21" s="36" t="s">
        <v>177</v>
      </c>
      <c r="D21" s="23"/>
      <c r="E21" s="23"/>
      <c r="F21" s="23"/>
      <c r="G21" s="27" t="s">
        <v>85</v>
      </c>
      <c r="H21" s="23"/>
      <c r="I21" s="23">
        <v>2</v>
      </c>
    </row>
    <row r="22" spans="1:9" ht="18" customHeight="1">
      <c r="A22" s="23"/>
      <c r="B22" s="29" t="s">
        <v>88</v>
      </c>
      <c r="C22" s="35" t="s">
        <v>178</v>
      </c>
      <c r="D22" s="23"/>
      <c r="E22" s="23"/>
      <c r="F22" s="23"/>
      <c r="G22" s="27" t="s">
        <v>85</v>
      </c>
      <c r="H22" s="23"/>
      <c r="I22" s="23">
        <v>1.5</v>
      </c>
    </row>
    <row r="23" spans="1:9" ht="15.75" customHeight="1">
      <c r="A23" s="23"/>
      <c r="B23" s="25" t="s">
        <v>24</v>
      </c>
      <c r="C23" s="25" t="s">
        <v>89</v>
      </c>
      <c r="D23" s="25" t="s">
        <v>58</v>
      </c>
      <c r="E23" s="26" t="s">
        <v>26</v>
      </c>
      <c r="F23" s="31" t="s">
        <v>27</v>
      </c>
      <c r="G23" s="25" t="s">
        <v>60</v>
      </c>
      <c r="H23" s="25" t="s">
        <v>14</v>
      </c>
      <c r="I23" s="25" t="s">
        <v>61</v>
      </c>
    </row>
    <row r="24" spans="1:9" ht="15.75" customHeight="1">
      <c r="A24" s="23"/>
      <c r="B24" s="23"/>
      <c r="C24" s="23" t="s">
        <v>62</v>
      </c>
      <c r="D24" s="23"/>
      <c r="E24" s="23"/>
      <c r="F24" s="23"/>
      <c r="G24" s="28" t="s">
        <v>63</v>
      </c>
      <c r="H24" s="23"/>
      <c r="I24" s="28" t="s">
        <v>64</v>
      </c>
    </row>
    <row r="25" spans="1:9" ht="15.75" customHeight="1">
      <c r="A25" s="23"/>
      <c r="B25" s="29" t="s">
        <v>90</v>
      </c>
      <c r="C25" s="23" t="s">
        <v>91</v>
      </c>
      <c r="D25" s="23"/>
      <c r="E25" s="23"/>
      <c r="F25" s="23"/>
      <c r="G25" s="27" t="s">
        <v>92</v>
      </c>
      <c r="H25" s="23"/>
      <c r="I25" s="23">
        <v>1</v>
      </c>
    </row>
    <row r="26" spans="1:9" ht="15.75" customHeight="1">
      <c r="A26" s="23"/>
      <c r="B26" s="29" t="s">
        <v>93</v>
      </c>
      <c r="C26" s="23" t="s">
        <v>94</v>
      </c>
      <c r="D26" s="23"/>
      <c r="E26" s="23"/>
      <c r="F26" s="23"/>
      <c r="G26" s="27" t="s">
        <v>92</v>
      </c>
      <c r="H26" s="23"/>
      <c r="I26" s="23">
        <v>1.5</v>
      </c>
    </row>
    <row r="27" spans="1:9" ht="15.75" customHeight="1">
      <c r="A27" s="23"/>
      <c r="B27" s="29" t="s">
        <v>95</v>
      </c>
      <c r="C27" s="23" t="s">
        <v>96</v>
      </c>
      <c r="D27" s="23"/>
      <c r="E27" s="23"/>
      <c r="F27" s="23"/>
      <c r="G27" s="27" t="s">
        <v>92</v>
      </c>
      <c r="H27" s="23"/>
      <c r="I27" s="23">
        <v>1</v>
      </c>
    </row>
    <row r="28" spans="1:9" ht="14.25" customHeight="1">
      <c r="A28" s="32"/>
      <c r="B28" s="29" t="s">
        <v>97</v>
      </c>
      <c r="C28" s="23" t="s">
        <v>98</v>
      </c>
      <c r="D28" s="23"/>
      <c r="E28" s="23"/>
      <c r="F28" s="23"/>
      <c r="G28" s="27" t="s">
        <v>92</v>
      </c>
      <c r="H28" s="23"/>
      <c r="I28" s="23">
        <v>2</v>
      </c>
    </row>
    <row r="29" spans="1:9" ht="15.75" customHeight="1">
      <c r="A29" s="12" t="s">
        <v>99</v>
      </c>
      <c r="B29" s="12" t="s">
        <v>100</v>
      </c>
      <c r="C29" s="12"/>
      <c r="D29" s="12"/>
      <c r="E29" s="12"/>
      <c r="F29" s="12"/>
      <c r="G29" s="12"/>
      <c r="H29" s="12"/>
      <c r="I29" s="12"/>
    </row>
    <row r="30" spans="1:9" ht="15.75" customHeight="1">
      <c r="B30" s="2" t="s">
        <v>28</v>
      </c>
      <c r="C30" s="2" t="s">
        <v>29</v>
      </c>
      <c r="D30" s="2" t="s">
        <v>58</v>
      </c>
      <c r="E30" s="11" t="s">
        <v>30</v>
      </c>
      <c r="F30" s="9" t="s">
        <v>31</v>
      </c>
      <c r="G30" s="2" t="s">
        <v>60</v>
      </c>
      <c r="H30" s="2" t="s">
        <v>14</v>
      </c>
      <c r="I30" s="2" t="s">
        <v>61</v>
      </c>
    </row>
    <row r="31" spans="1:9" ht="15.75" customHeight="1">
      <c r="C31" t="s">
        <v>101</v>
      </c>
    </row>
    <row r="32" spans="1:9" ht="15.75" customHeight="1"/>
    <row r="33" spans="2:9" ht="20.25" customHeight="1">
      <c r="B33" s="4" t="s">
        <v>102</v>
      </c>
      <c r="C33" s="15" t="s">
        <v>103</v>
      </c>
      <c r="D33" s="15"/>
      <c r="G33" t="s">
        <v>85</v>
      </c>
      <c r="I33">
        <v>1</v>
      </c>
    </row>
    <row r="34" spans="2:9" ht="18.75" customHeight="1">
      <c r="B34" s="4" t="s">
        <v>104</v>
      </c>
      <c r="C34" s="15" t="s">
        <v>105</v>
      </c>
      <c r="D34" s="15"/>
      <c r="G34" t="s">
        <v>85</v>
      </c>
      <c r="I34">
        <v>2</v>
      </c>
    </row>
    <row r="35" spans="2:9" ht="18" customHeight="1">
      <c r="B35" s="4" t="s">
        <v>106</v>
      </c>
      <c r="C35" t="s">
        <v>156</v>
      </c>
      <c r="G35" t="s">
        <v>85</v>
      </c>
      <c r="I35">
        <v>3</v>
      </c>
    </row>
    <row r="36" spans="2:9" ht="15.75" customHeight="1">
      <c r="B36" s="2" t="s">
        <v>32</v>
      </c>
      <c r="C36" s="2" t="s">
        <v>33</v>
      </c>
      <c r="D36" s="2" t="s">
        <v>58</v>
      </c>
      <c r="E36" s="11" t="s">
        <v>34</v>
      </c>
      <c r="F36" s="9" t="s">
        <v>35</v>
      </c>
      <c r="G36" s="2" t="s">
        <v>60</v>
      </c>
      <c r="H36" s="2" t="s">
        <v>14</v>
      </c>
      <c r="I36" s="2" t="s">
        <v>61</v>
      </c>
    </row>
    <row r="37" spans="2:9" ht="24" customHeight="1">
      <c r="C37" t="s">
        <v>62</v>
      </c>
      <c r="G37" s="3" t="s">
        <v>63</v>
      </c>
      <c r="I37" s="3" t="s">
        <v>64</v>
      </c>
    </row>
    <row r="38" spans="2:9" ht="15.75" customHeight="1">
      <c r="B38" s="4" t="s">
        <v>107</v>
      </c>
      <c r="C38" s="15" t="s">
        <v>108</v>
      </c>
      <c r="G38" s="1" t="s">
        <v>92</v>
      </c>
      <c r="I38">
        <v>1</v>
      </c>
    </row>
    <row r="39" spans="2:9" ht="15.75" customHeight="1">
      <c r="B39" s="4" t="s">
        <v>109</v>
      </c>
      <c r="C39" s="15" t="s">
        <v>110</v>
      </c>
      <c r="G39" s="1" t="s">
        <v>92</v>
      </c>
      <c r="I39">
        <v>2</v>
      </c>
    </row>
    <row r="40" spans="2:9" ht="15.75" customHeight="1">
      <c r="B40" s="4" t="s">
        <v>111</v>
      </c>
      <c r="C40" t="s">
        <v>112</v>
      </c>
      <c r="G40" s="1" t="s">
        <v>92</v>
      </c>
      <c r="I40">
        <v>1</v>
      </c>
    </row>
    <row r="41" spans="2:9" ht="28.5" customHeight="1">
      <c r="B41" s="4" t="s">
        <v>113</v>
      </c>
      <c r="C41" t="s">
        <v>114</v>
      </c>
      <c r="G41" s="1" t="s">
        <v>92</v>
      </c>
      <c r="I41">
        <v>2</v>
      </c>
    </row>
    <row r="42" spans="2:9" ht="15.75" customHeight="1">
      <c r="B42" s="2" t="s">
        <v>36</v>
      </c>
      <c r="C42" s="2" t="s">
        <v>37</v>
      </c>
      <c r="D42" s="2" t="s">
        <v>58</v>
      </c>
      <c r="E42" s="11" t="s">
        <v>38</v>
      </c>
      <c r="F42" s="9" t="s">
        <v>39</v>
      </c>
      <c r="G42" s="2" t="s">
        <v>60</v>
      </c>
      <c r="H42" s="2" t="s">
        <v>14</v>
      </c>
      <c r="I42" s="2" t="s">
        <v>61</v>
      </c>
    </row>
    <row r="43" spans="2:9" ht="26.45" customHeight="1">
      <c r="C43" s="16" t="s">
        <v>101</v>
      </c>
      <c r="G43" s="1"/>
    </row>
    <row r="44" spans="2:9" ht="19.5" customHeight="1">
      <c r="B44" s="17" t="s">
        <v>115</v>
      </c>
      <c r="C44" s="15" t="s">
        <v>150</v>
      </c>
      <c r="D44" s="15"/>
      <c r="E44" s="15"/>
      <c r="G44" s="1" t="s">
        <v>67</v>
      </c>
      <c r="I44">
        <v>2</v>
      </c>
    </row>
    <row r="45" spans="2:9" ht="19.5" customHeight="1">
      <c r="B45" s="17" t="s">
        <v>116</v>
      </c>
      <c r="C45" s="15" t="s">
        <v>151</v>
      </c>
      <c r="D45" s="15"/>
      <c r="E45" s="15"/>
      <c r="G45" s="1" t="s">
        <v>67</v>
      </c>
      <c r="I45">
        <v>3</v>
      </c>
    </row>
    <row r="46" spans="2:9" ht="18" customHeight="1">
      <c r="B46" s="17" t="s">
        <v>117</v>
      </c>
      <c r="C46" s="15" t="s">
        <v>152</v>
      </c>
      <c r="D46" s="15"/>
      <c r="E46" s="15"/>
      <c r="G46" s="1" t="s">
        <v>67</v>
      </c>
      <c r="I46">
        <v>3</v>
      </c>
    </row>
    <row r="47" spans="2:9" ht="23.25" customHeight="1">
      <c r="B47" s="2" t="s">
        <v>40</v>
      </c>
      <c r="C47" s="2" t="s">
        <v>41</v>
      </c>
      <c r="D47" s="2" t="s">
        <v>58</v>
      </c>
      <c r="E47" s="11" t="s">
        <v>42</v>
      </c>
      <c r="F47" s="9" t="s">
        <v>43</v>
      </c>
      <c r="G47" s="2" t="s">
        <v>60</v>
      </c>
      <c r="H47" s="2" t="s">
        <v>14</v>
      </c>
      <c r="I47" s="2" t="s">
        <v>61</v>
      </c>
    </row>
    <row r="48" spans="2:9" ht="36.75" customHeight="1">
      <c r="B48" s="1"/>
      <c r="C48" s="3" t="s">
        <v>62</v>
      </c>
      <c r="G48" s="3" t="s">
        <v>63</v>
      </c>
      <c r="I48" s="3" t="s">
        <v>64</v>
      </c>
    </row>
    <row r="49" spans="1:9" ht="28.5" customHeight="1">
      <c r="B49" s="4" t="s">
        <v>118</v>
      </c>
      <c r="C49" s="14" t="s">
        <v>119</v>
      </c>
      <c r="G49" s="1" t="s">
        <v>78</v>
      </c>
      <c r="I49">
        <v>3</v>
      </c>
    </row>
    <row r="50" spans="1:9" ht="15.75" customHeight="1">
      <c r="B50" s="4" t="s">
        <v>120</v>
      </c>
      <c r="C50" s="14" t="s">
        <v>121</v>
      </c>
      <c r="G50" s="1" t="s">
        <v>78</v>
      </c>
      <c r="I50">
        <v>4</v>
      </c>
    </row>
    <row r="51" spans="1:9" ht="15.75" customHeight="1">
      <c r="B51" s="4" t="s">
        <v>122</v>
      </c>
      <c r="C51" s="14" t="s">
        <v>123</v>
      </c>
      <c r="G51" s="1" t="s">
        <v>78</v>
      </c>
      <c r="I51">
        <v>1.5</v>
      </c>
    </row>
    <row r="52" spans="1:9" ht="23.1" customHeight="1">
      <c r="B52" s="4" t="s">
        <v>124</v>
      </c>
      <c r="C52" s="14" t="s">
        <v>125</v>
      </c>
      <c r="G52" s="1" t="s">
        <v>78</v>
      </c>
      <c r="I52">
        <v>2.5</v>
      </c>
    </row>
    <row r="53" spans="1:9" ht="15.75" customHeight="1">
      <c r="A53" s="13" t="s">
        <v>126</v>
      </c>
      <c r="B53" s="13" t="s">
        <v>127</v>
      </c>
      <c r="C53" s="12"/>
      <c r="D53" s="12"/>
      <c r="E53" s="12"/>
      <c r="F53" s="12"/>
      <c r="G53" s="12"/>
      <c r="H53" s="12"/>
      <c r="I53" s="12"/>
    </row>
    <row r="54" spans="1:9" ht="15.75" customHeight="1"/>
    <row r="55" spans="1:9" ht="15.75" customHeight="1">
      <c r="B55" s="2" t="s">
        <v>44</v>
      </c>
      <c r="C55" s="2" t="s">
        <v>45</v>
      </c>
      <c r="D55" s="2" t="s">
        <v>58</v>
      </c>
      <c r="E55" s="11" t="s">
        <v>46</v>
      </c>
      <c r="F55" s="9" t="s">
        <v>47</v>
      </c>
      <c r="G55" s="2" t="s">
        <v>60</v>
      </c>
      <c r="H55" s="2" t="s">
        <v>14</v>
      </c>
      <c r="I55" s="2" t="s">
        <v>61</v>
      </c>
    </row>
    <row r="56" spans="1:9" ht="26.1" customHeight="1">
      <c r="C56" t="s">
        <v>101</v>
      </c>
    </row>
    <row r="57" spans="1:9" ht="16.5" customHeight="1">
      <c r="B57" s="17" t="s">
        <v>128</v>
      </c>
      <c r="C57" t="s">
        <v>153</v>
      </c>
      <c r="G57" t="s">
        <v>85</v>
      </c>
      <c r="I57">
        <v>3</v>
      </c>
    </row>
    <row r="58" spans="1:9" ht="16.5" customHeight="1">
      <c r="B58" s="17" t="s">
        <v>129</v>
      </c>
      <c r="C58" t="s">
        <v>154</v>
      </c>
      <c r="G58" t="s">
        <v>85</v>
      </c>
      <c r="I58">
        <v>4</v>
      </c>
    </row>
    <row r="59" spans="1:9" ht="15" customHeight="1">
      <c r="B59" s="17" t="s">
        <v>130</v>
      </c>
      <c r="C59" t="s">
        <v>155</v>
      </c>
      <c r="G59" t="s">
        <v>85</v>
      </c>
      <c r="I59">
        <v>4</v>
      </c>
    </row>
    <row r="60" spans="1:9" ht="26.25" customHeight="1">
      <c r="B60" s="2" t="s">
        <v>48</v>
      </c>
      <c r="C60" s="2" t="s">
        <v>49</v>
      </c>
      <c r="D60" s="20" t="s">
        <v>58</v>
      </c>
      <c r="E60" s="11" t="s">
        <v>50</v>
      </c>
      <c r="F60" s="9" t="s">
        <v>131</v>
      </c>
      <c r="G60" s="2" t="s">
        <v>60</v>
      </c>
      <c r="H60" s="2" t="s">
        <v>14</v>
      </c>
      <c r="I60" s="2" t="s">
        <v>61</v>
      </c>
    </row>
    <row r="61" spans="1:9" ht="36.75" customHeight="1">
      <c r="C61" s="3" t="s">
        <v>62</v>
      </c>
      <c r="G61" s="3" t="s">
        <v>63</v>
      </c>
    </row>
    <row r="62" spans="1:9" ht="24.75" customHeight="1">
      <c r="B62" s="4" t="s">
        <v>132</v>
      </c>
      <c r="C62" s="14" t="s">
        <v>133</v>
      </c>
      <c r="G62" s="1" t="s">
        <v>78</v>
      </c>
      <c r="I62">
        <v>2.5</v>
      </c>
    </row>
    <row r="63" spans="1:9" ht="15.75" customHeight="1">
      <c r="B63" s="4" t="s">
        <v>134</v>
      </c>
      <c r="C63" s="14" t="s">
        <v>135</v>
      </c>
      <c r="G63" s="1" t="s">
        <v>78</v>
      </c>
      <c r="I63">
        <v>3</v>
      </c>
    </row>
    <row r="64" spans="1:9" ht="15.75" customHeight="1">
      <c r="B64" s="4" t="s">
        <v>136</v>
      </c>
      <c r="C64" s="14" t="s">
        <v>137</v>
      </c>
      <c r="G64" s="1" t="s">
        <v>78</v>
      </c>
      <c r="I64">
        <v>3</v>
      </c>
    </row>
    <row r="65" spans="2:9" ht="15.75" customHeight="1">
      <c r="B65" s="4" t="s">
        <v>138</v>
      </c>
      <c r="C65" s="14" t="s">
        <v>139</v>
      </c>
      <c r="G65" s="1" t="s">
        <v>78</v>
      </c>
      <c r="I65">
        <v>3.5</v>
      </c>
    </row>
    <row r="66" spans="2:9" ht="15.75" customHeight="1"/>
    <row r="67" spans="2:9" ht="15.75" customHeight="1"/>
    <row r="68" spans="2:9" ht="15.75" customHeight="1"/>
    <row r="69" spans="2:9" ht="15.75" customHeight="1"/>
    <row r="70" spans="2:9" ht="15.75" customHeight="1"/>
    <row r="71" spans="2:9" ht="15.75" customHeight="1"/>
    <row r="72" spans="2:9" ht="15.75" customHeight="1"/>
    <row r="73" spans="2:9" ht="15.75" customHeight="1"/>
    <row r="74" spans="2:9" ht="15.75" customHeight="1"/>
    <row r="75" spans="2:9" ht="15.75" customHeight="1"/>
    <row r="76" spans="2:9" ht="15.75" customHeight="1"/>
    <row r="77" spans="2:9" ht="15.75" customHeight="1"/>
    <row r="78" spans="2:9" ht="15.75" customHeight="1"/>
    <row r="79" spans="2:9" ht="15.75" customHeight="1"/>
    <row r="80" spans="2:9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</sheetData>
  <mergeCells count="5">
    <mergeCell ref="C6:F6"/>
    <mergeCell ref="C7:F7"/>
    <mergeCell ref="C8:F8"/>
    <mergeCell ref="C10:F10"/>
    <mergeCell ref="C9:F9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9496C-95BF-43E4-86D6-15F1098F0070}">
  <sheetPr>
    <outlinePr summaryBelow="0" summaryRight="0"/>
  </sheetPr>
  <dimension ref="A1:K977"/>
  <sheetViews>
    <sheetView tabSelected="1" topLeftCell="A112" zoomScale="81" zoomScaleNormal="81" workbookViewId="0">
      <selection activeCell="B98" sqref="B98:J99"/>
    </sheetView>
  </sheetViews>
  <sheetFormatPr baseColWidth="10" defaultColWidth="12.5703125" defaultRowHeight="15" customHeight="1"/>
  <cols>
    <col min="1" max="1" width="12.5703125" style="18" customWidth="1"/>
    <col min="2" max="2" width="24.7109375" style="18" customWidth="1"/>
    <col min="3" max="3" width="12.5703125" style="18" customWidth="1"/>
    <col min="4" max="4" width="16.28515625" style="18" customWidth="1"/>
    <col min="5" max="8" width="12.5703125" style="18" customWidth="1"/>
    <col min="9" max="9" width="16.7109375" style="18" bestFit="1" customWidth="1"/>
    <col min="10" max="10" width="16.28515625" style="18" bestFit="1" customWidth="1"/>
    <col min="11" max="11" width="13" style="18" bestFit="1" customWidth="1"/>
    <col min="12" max="16384" width="12.5703125" style="18"/>
  </cols>
  <sheetData>
    <row r="1" spans="1:11" ht="15.75" customHeight="1"/>
    <row r="2" spans="1:11" ht="15.75" customHeight="1">
      <c r="E2" s="65" t="s">
        <v>170</v>
      </c>
      <c r="F2" s="65"/>
      <c r="G2" s="65"/>
      <c r="H2" s="65"/>
      <c r="I2" s="65"/>
    </row>
    <row r="3" spans="1:11" ht="15.75" customHeight="1"/>
    <row r="4" spans="1:11" ht="15.75" customHeight="1">
      <c r="B4" s="66" t="s">
        <v>172</v>
      </c>
      <c r="C4" s="66"/>
      <c r="D4" s="66"/>
      <c r="E4" s="66"/>
      <c r="F4" s="66"/>
      <c r="G4" s="66"/>
      <c r="H4" s="66"/>
      <c r="I4" s="66"/>
      <c r="J4" s="66"/>
      <c r="K4" s="66"/>
    </row>
    <row r="5" spans="1:11" ht="15.75" customHeight="1">
      <c r="B5" s="34"/>
      <c r="C5" s="34" t="s">
        <v>64</v>
      </c>
      <c r="D5" s="34" t="s">
        <v>140</v>
      </c>
      <c r="E5" s="34" t="s">
        <v>141</v>
      </c>
      <c r="F5" s="34" t="s">
        <v>142</v>
      </c>
      <c r="G5" s="34" t="s">
        <v>143</v>
      </c>
      <c r="H5" s="34" t="s">
        <v>144</v>
      </c>
      <c r="I5" s="34" t="s">
        <v>145</v>
      </c>
      <c r="J5" s="34" t="s">
        <v>146</v>
      </c>
      <c r="K5" s="34" t="s">
        <v>147</v>
      </c>
    </row>
    <row r="6" spans="1:11" ht="15.75" customHeight="1">
      <c r="A6" s="19"/>
      <c r="B6" s="37" t="s">
        <v>65</v>
      </c>
      <c r="C6" s="38">
        <v>1</v>
      </c>
      <c r="D6" s="37">
        <v>0</v>
      </c>
      <c r="E6" s="37">
        <v>0</v>
      </c>
      <c r="F6" s="37">
        <v>0</v>
      </c>
      <c r="G6" s="37">
        <v>0</v>
      </c>
      <c r="H6" s="37">
        <v>0</v>
      </c>
      <c r="I6" s="37">
        <v>0</v>
      </c>
      <c r="J6" s="37">
        <v>1</v>
      </c>
      <c r="K6" s="39">
        <f>SUM(D6:J6)</f>
        <v>1</v>
      </c>
    </row>
    <row r="7" spans="1:11" ht="15.75" customHeight="1">
      <c r="A7" s="19"/>
      <c r="B7" s="37" t="s">
        <v>68</v>
      </c>
      <c r="C7" s="38">
        <v>3</v>
      </c>
      <c r="D7" s="37">
        <v>0</v>
      </c>
      <c r="E7" s="37">
        <v>0</v>
      </c>
      <c r="F7" s="37">
        <v>0</v>
      </c>
      <c r="G7" s="37">
        <v>1</v>
      </c>
      <c r="H7" s="37">
        <v>1</v>
      </c>
      <c r="I7" s="37">
        <v>1</v>
      </c>
      <c r="J7" s="37">
        <v>0</v>
      </c>
      <c r="K7" s="39">
        <f>SUM(D7:J7)</f>
        <v>3</v>
      </c>
    </row>
    <row r="8" spans="1:11" ht="15.75" customHeight="1">
      <c r="B8" s="37" t="s">
        <v>70</v>
      </c>
      <c r="C8" s="38">
        <v>4</v>
      </c>
      <c r="D8" s="37">
        <v>1</v>
      </c>
      <c r="E8" s="37">
        <v>2</v>
      </c>
      <c r="F8" s="37">
        <v>1</v>
      </c>
      <c r="G8" s="37">
        <v>1</v>
      </c>
      <c r="H8" s="37">
        <v>0</v>
      </c>
      <c r="I8" s="37">
        <v>0</v>
      </c>
      <c r="J8" s="37">
        <v>0</v>
      </c>
      <c r="K8" s="39">
        <f t="shared" ref="K7:K10" si="0">SUM(D8:J8)</f>
        <v>5</v>
      </c>
    </row>
    <row r="9" spans="1:11" ht="15.75" customHeight="1">
      <c r="B9" s="37" t="s">
        <v>72</v>
      </c>
      <c r="C9" s="38">
        <v>3</v>
      </c>
      <c r="D9" s="37">
        <v>2</v>
      </c>
      <c r="E9" s="37">
        <v>0</v>
      </c>
      <c r="F9" s="37">
        <v>0</v>
      </c>
      <c r="G9" s="37">
        <v>1</v>
      </c>
      <c r="H9" s="37">
        <v>0</v>
      </c>
      <c r="I9" s="37">
        <v>1</v>
      </c>
      <c r="J9" s="37">
        <v>0</v>
      </c>
      <c r="K9" s="39">
        <f t="shared" si="0"/>
        <v>4</v>
      </c>
    </row>
    <row r="10" spans="1:11" ht="15.75" customHeight="1">
      <c r="B10" s="37" t="s">
        <v>74</v>
      </c>
      <c r="C10" s="38">
        <v>0.5</v>
      </c>
      <c r="D10" s="40">
        <v>0.5</v>
      </c>
      <c r="E10" s="37">
        <v>0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39">
        <f t="shared" si="0"/>
        <v>0.5</v>
      </c>
    </row>
    <row r="11" spans="1:11" ht="15.75" customHeight="1">
      <c r="B11" s="41" t="s">
        <v>148</v>
      </c>
      <c r="C11" s="34">
        <f>SUM(C6:C10)</f>
        <v>11.5</v>
      </c>
      <c r="D11" s="34">
        <f>SUM(D6:D10)</f>
        <v>3.5</v>
      </c>
      <c r="E11" s="34">
        <f t="shared" ref="E11:J11" si="1">SUM(E6:E10)</f>
        <v>2</v>
      </c>
      <c r="F11" s="34">
        <f t="shared" si="1"/>
        <v>1</v>
      </c>
      <c r="G11" s="34">
        <f t="shared" si="1"/>
        <v>3</v>
      </c>
      <c r="H11" s="34">
        <f t="shared" si="1"/>
        <v>1</v>
      </c>
      <c r="I11" s="34">
        <f t="shared" si="1"/>
        <v>2</v>
      </c>
      <c r="J11" s="34">
        <f t="shared" si="1"/>
        <v>1</v>
      </c>
      <c r="K11" s="42"/>
    </row>
    <row r="12" spans="1:11" ht="15.75" customHeight="1">
      <c r="B12" s="41" t="s">
        <v>149</v>
      </c>
      <c r="C12" s="34">
        <f>SUM(C6:C10)</f>
        <v>11.5</v>
      </c>
      <c r="D12" s="34">
        <f>C12-(SUM(C6:C10)/7)</f>
        <v>9.8571428571428577</v>
      </c>
      <c r="E12" s="34">
        <f>D12-(SUM(C6:C10)/7)</f>
        <v>8.2142857142857153</v>
      </c>
      <c r="F12" s="34">
        <f>E12-(SUM(C6:C10)/7)</f>
        <v>6.571428571428573</v>
      </c>
      <c r="G12" s="34">
        <f>F12-(SUM(C6:C10)/7)</f>
        <v>4.9285714285714306</v>
      </c>
      <c r="H12" s="34">
        <f>G12-(SUM(C6:C10)/7)</f>
        <v>3.2857142857142878</v>
      </c>
      <c r="I12" s="34">
        <f>H12-(SUM(C6:C10)/7)</f>
        <v>1.642857142857145</v>
      </c>
      <c r="J12" s="34">
        <f>I12-(SUM(C6:C10)/7)</f>
        <v>2.2204460492503131E-15</v>
      </c>
      <c r="K12" s="42"/>
    </row>
    <row r="13" spans="1:11" ht="15.75" customHeight="1"/>
    <row r="14" spans="1:11" ht="15.75" customHeight="1"/>
    <row r="15" spans="1:11" ht="15.75" customHeight="1"/>
    <row r="16" spans="1:11" ht="15.75" customHeight="1"/>
    <row r="17" spans="2:5" ht="15.75" customHeight="1"/>
    <row r="18" spans="2:5" ht="15.75" customHeight="1"/>
    <row r="19" spans="2:5" ht="15.75" customHeight="1"/>
    <row r="20" spans="2:5" ht="15.75" customHeight="1"/>
    <row r="21" spans="2:5" ht="15.75" customHeight="1">
      <c r="B21" s="64"/>
      <c r="C21" s="64"/>
      <c r="D21" s="64"/>
      <c r="E21" s="64"/>
    </row>
    <row r="22" spans="2:5" ht="15.75" customHeight="1">
      <c r="B22" s="64"/>
      <c r="C22" s="64"/>
      <c r="D22" s="64"/>
      <c r="E22" s="64"/>
    </row>
    <row r="23" spans="2:5" ht="15.75" customHeight="1">
      <c r="B23" s="64"/>
      <c r="C23" s="64"/>
      <c r="D23" s="64"/>
      <c r="E23" s="64"/>
    </row>
    <row r="24" spans="2:5" ht="15.75" customHeight="1">
      <c r="B24" s="64"/>
      <c r="C24" s="64"/>
      <c r="D24" s="64"/>
      <c r="E24" s="64"/>
    </row>
    <row r="25" spans="2:5" ht="15.75" customHeight="1">
      <c r="B25" s="64"/>
      <c r="C25" s="64"/>
      <c r="D25" s="64"/>
      <c r="E25" s="64"/>
    </row>
    <row r="26" spans="2:5" ht="15.75" customHeight="1">
      <c r="B26" s="64"/>
      <c r="C26" s="64"/>
      <c r="D26" s="64"/>
      <c r="E26" s="64"/>
    </row>
    <row r="27" spans="2:5" ht="15.75" customHeight="1">
      <c r="B27" s="64"/>
      <c r="C27" s="64"/>
      <c r="D27" s="64"/>
      <c r="E27" s="64"/>
    </row>
    <row r="28" spans="2:5" ht="15.75" customHeight="1">
      <c r="B28" s="64"/>
      <c r="C28" s="64"/>
      <c r="D28" s="64"/>
      <c r="E28" s="64"/>
    </row>
    <row r="29" spans="2:5" ht="15.75" customHeight="1">
      <c r="B29" s="64"/>
      <c r="C29" s="64"/>
      <c r="D29" s="64"/>
      <c r="E29" s="64"/>
    </row>
    <row r="30" spans="2:5" ht="15.75" customHeight="1">
      <c r="B30" s="64"/>
      <c r="C30" s="64"/>
      <c r="D30" s="64"/>
      <c r="E30" s="64"/>
    </row>
    <row r="31" spans="2:5" ht="15.75" customHeight="1">
      <c r="B31" s="64"/>
      <c r="C31" s="64"/>
      <c r="D31" s="64"/>
      <c r="E31" s="64"/>
    </row>
    <row r="32" spans="2:5" ht="15.75" customHeight="1"/>
    <row r="33" spans="2:11" ht="15.75" customHeight="1">
      <c r="B33" s="67" t="s">
        <v>175</v>
      </c>
      <c r="C33" s="67"/>
      <c r="D33" s="67"/>
      <c r="E33" s="67"/>
      <c r="F33" s="67"/>
      <c r="G33" s="67"/>
      <c r="H33" s="67"/>
      <c r="I33" s="67"/>
      <c r="J33" s="67"/>
      <c r="K33" s="67"/>
    </row>
    <row r="34" spans="2:11" ht="41.45" customHeight="1">
      <c r="B34" s="43" t="s">
        <v>162</v>
      </c>
      <c r="C34" s="43" t="s">
        <v>64</v>
      </c>
      <c r="D34" s="44" t="s">
        <v>163</v>
      </c>
      <c r="E34" s="44" t="s">
        <v>164</v>
      </c>
      <c r="F34" s="44" t="s">
        <v>165</v>
      </c>
      <c r="G34" s="44" t="s">
        <v>166</v>
      </c>
      <c r="H34" s="44" t="s">
        <v>167</v>
      </c>
      <c r="I34" s="43" t="s">
        <v>168</v>
      </c>
      <c r="J34" s="43" t="s">
        <v>169</v>
      </c>
      <c r="K34" s="43" t="s">
        <v>147</v>
      </c>
    </row>
    <row r="35" spans="2:11" ht="15.75" customHeight="1">
      <c r="B35" s="45" t="s">
        <v>77</v>
      </c>
      <c r="C35" s="46">
        <v>1.5</v>
      </c>
      <c r="D35" s="47">
        <v>0</v>
      </c>
      <c r="E35" s="47">
        <v>0.5</v>
      </c>
      <c r="F35" s="47">
        <v>0</v>
      </c>
      <c r="G35" s="47">
        <v>0</v>
      </c>
      <c r="H35" s="47">
        <v>0</v>
      </c>
      <c r="I35" s="45">
        <v>0</v>
      </c>
      <c r="J35" s="45">
        <v>1</v>
      </c>
      <c r="K35" s="48">
        <v>1.5</v>
      </c>
    </row>
    <row r="36" spans="2:11" ht="15.75" customHeight="1">
      <c r="B36" s="45" t="s">
        <v>79</v>
      </c>
      <c r="C36" s="46">
        <v>4</v>
      </c>
      <c r="D36" s="47">
        <v>1</v>
      </c>
      <c r="E36" s="47">
        <v>1</v>
      </c>
      <c r="F36" s="47">
        <v>1</v>
      </c>
      <c r="G36" s="47">
        <v>1</v>
      </c>
      <c r="H36" s="47">
        <v>0</v>
      </c>
      <c r="I36" s="45">
        <v>0</v>
      </c>
      <c r="J36" s="45">
        <v>0</v>
      </c>
      <c r="K36" s="48">
        <v>4</v>
      </c>
    </row>
    <row r="37" spans="2:11" ht="15.75" customHeight="1">
      <c r="B37" s="45" t="s">
        <v>80</v>
      </c>
      <c r="C37" s="46">
        <v>3</v>
      </c>
      <c r="D37" s="47">
        <v>2.5</v>
      </c>
      <c r="E37" s="47">
        <v>0</v>
      </c>
      <c r="F37" s="47">
        <v>0</v>
      </c>
      <c r="G37" s="47">
        <v>1</v>
      </c>
      <c r="H37" s="47">
        <v>0</v>
      </c>
      <c r="I37" s="45">
        <v>0</v>
      </c>
      <c r="J37" s="45">
        <v>0</v>
      </c>
      <c r="K37" s="48">
        <v>3</v>
      </c>
    </row>
    <row r="38" spans="2:11" ht="15.75" customHeight="1">
      <c r="B38" s="45" t="s">
        <v>81</v>
      </c>
      <c r="C38" s="46">
        <v>2.5</v>
      </c>
      <c r="D38" s="58">
        <v>1</v>
      </c>
      <c r="E38" s="47">
        <v>1</v>
      </c>
      <c r="F38" s="47">
        <v>0</v>
      </c>
      <c r="G38" s="47">
        <v>0</v>
      </c>
      <c r="H38" s="47">
        <v>0</v>
      </c>
      <c r="I38" s="45">
        <v>0</v>
      </c>
      <c r="J38" s="45">
        <v>0</v>
      </c>
      <c r="K38" s="48">
        <v>2.5</v>
      </c>
    </row>
    <row r="39" spans="2:11" ht="18" customHeight="1">
      <c r="B39" s="49" t="s">
        <v>148</v>
      </c>
      <c r="C39" s="53">
        <f t="shared" ref="C39:J39" si="2">SUM(C35:C38)</f>
        <v>11</v>
      </c>
      <c r="D39" s="60">
        <f t="shared" si="2"/>
        <v>4.5</v>
      </c>
      <c r="E39" s="57">
        <f t="shared" si="2"/>
        <v>2.5</v>
      </c>
      <c r="F39" s="44">
        <f t="shared" si="2"/>
        <v>1</v>
      </c>
      <c r="G39" s="44">
        <f t="shared" si="2"/>
        <v>2</v>
      </c>
      <c r="H39" s="44">
        <f t="shared" si="2"/>
        <v>0</v>
      </c>
      <c r="I39" s="53">
        <f t="shared" si="2"/>
        <v>0</v>
      </c>
      <c r="J39" s="43">
        <f t="shared" si="2"/>
        <v>1</v>
      </c>
      <c r="K39" s="54" t="s">
        <v>162</v>
      </c>
    </row>
    <row r="40" spans="2:11" ht="26.1" customHeight="1">
      <c r="B40" s="51" t="s">
        <v>149</v>
      </c>
      <c r="C40" s="43">
        <f>SUM(C35:C38)</f>
        <v>11</v>
      </c>
      <c r="D40" s="59">
        <f>C40-(SUM(C35:C38)/7)</f>
        <v>9.4285714285714288</v>
      </c>
      <c r="E40" s="50">
        <f>D40-(SUM(C35:C38)/7)</f>
        <v>7.8571428571428577</v>
      </c>
      <c r="F40" s="44">
        <f>E40-(SUM(C35:C38)/7)</f>
        <v>6.2857142857142865</v>
      </c>
      <c r="G40" s="44">
        <f>F40-(SUM(C35:C38)/7)</f>
        <v>4.7142857142857153</v>
      </c>
      <c r="H40" s="44">
        <f>G40-(SUM(C35:C38)/7)</f>
        <v>3.1428571428571441</v>
      </c>
      <c r="I40" s="53">
        <f>H40-(SUM(C35:C38)/7)</f>
        <v>1.5714285714285727</v>
      </c>
      <c r="J40" s="52">
        <f>I40-(SUM(C35:C38)/7)</f>
        <v>0</v>
      </c>
      <c r="K40" s="54" t="s">
        <v>162</v>
      </c>
    </row>
    <row r="41" spans="2:11" ht="15.75" customHeight="1">
      <c r="J41"/>
    </row>
    <row r="42" spans="2:11" ht="15.75" customHeight="1"/>
    <row r="43" spans="2:11" ht="15.75" customHeight="1"/>
    <row r="44" spans="2:11" ht="15.75" customHeight="1"/>
    <row r="45" spans="2:11" ht="15.75" customHeight="1"/>
    <row r="46" spans="2:11" ht="15.75" customHeight="1"/>
    <row r="47" spans="2:11" ht="15.75" customHeight="1"/>
    <row r="48" spans="2:11" ht="15.75" customHeight="1"/>
    <row r="49" spans="2:11" ht="15.75" customHeight="1"/>
    <row r="50" spans="2:11" ht="15.75" customHeight="1"/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>
      <c r="D58" s="33"/>
    </row>
    <row r="59" spans="2:11" ht="15.75" customHeight="1"/>
    <row r="60" spans="2:11" ht="15.75" customHeight="1">
      <c r="E60" s="33"/>
    </row>
    <row r="61" spans="2:11" ht="15.75" customHeight="1"/>
    <row r="62" spans="2:11" ht="15.75" customHeight="1"/>
    <row r="63" spans="2:11" ht="27.75" customHeight="1">
      <c r="B63" s="66" t="s">
        <v>182</v>
      </c>
      <c r="C63" s="66"/>
      <c r="D63" s="66"/>
      <c r="E63" s="66"/>
      <c r="F63" s="66"/>
      <c r="G63" s="66"/>
      <c r="H63" s="66"/>
      <c r="I63" s="66"/>
      <c r="J63" s="66"/>
      <c r="K63" s="66"/>
    </row>
    <row r="64" spans="2:11" ht="15.75" customHeight="1">
      <c r="B64" s="34"/>
      <c r="C64" s="34" t="s">
        <v>64</v>
      </c>
      <c r="D64" s="34" t="s">
        <v>140</v>
      </c>
      <c r="E64" s="34" t="s">
        <v>141</v>
      </c>
      <c r="F64" s="34" t="s">
        <v>142</v>
      </c>
      <c r="G64" s="34" t="s">
        <v>143</v>
      </c>
      <c r="H64" s="34" t="s">
        <v>144</v>
      </c>
      <c r="I64" s="34" t="s">
        <v>145</v>
      </c>
      <c r="J64" s="34" t="s">
        <v>146</v>
      </c>
      <c r="K64" s="34" t="s">
        <v>147</v>
      </c>
    </row>
    <row r="65" spans="2:11" ht="15.75" customHeight="1">
      <c r="B65" s="37" t="s">
        <v>84</v>
      </c>
      <c r="C65" s="38">
        <v>3.5</v>
      </c>
      <c r="D65" s="37">
        <v>0.5</v>
      </c>
      <c r="E65" s="37">
        <v>1</v>
      </c>
      <c r="F65" s="37">
        <v>0.5</v>
      </c>
      <c r="G65" s="37">
        <v>0</v>
      </c>
      <c r="H65" s="37">
        <v>0.5</v>
      </c>
      <c r="I65" s="37">
        <v>0</v>
      </c>
      <c r="J65" s="37">
        <v>1</v>
      </c>
      <c r="K65" s="39">
        <v>3.5</v>
      </c>
    </row>
    <row r="66" spans="2:11" ht="15.75" customHeight="1">
      <c r="B66" s="37" t="s">
        <v>86</v>
      </c>
      <c r="C66" s="38">
        <v>2</v>
      </c>
      <c r="D66" s="37">
        <v>0</v>
      </c>
      <c r="E66" s="37">
        <v>0.5</v>
      </c>
      <c r="F66" s="37">
        <v>0</v>
      </c>
      <c r="G66" s="37">
        <v>0.5</v>
      </c>
      <c r="H66" s="37">
        <v>1</v>
      </c>
      <c r="I66" s="37">
        <v>0</v>
      </c>
      <c r="J66" s="37">
        <v>0</v>
      </c>
      <c r="K66" s="39">
        <v>2</v>
      </c>
    </row>
    <row r="67" spans="2:11" ht="15.75" customHeight="1">
      <c r="B67" s="37" t="s">
        <v>87</v>
      </c>
      <c r="C67" s="38">
        <v>2</v>
      </c>
      <c r="D67" s="37">
        <v>1</v>
      </c>
      <c r="E67" s="37">
        <v>2</v>
      </c>
      <c r="F67" s="37">
        <v>0</v>
      </c>
      <c r="G67" s="37">
        <v>0</v>
      </c>
      <c r="H67" s="37">
        <v>0</v>
      </c>
      <c r="I67" s="37">
        <v>0</v>
      </c>
      <c r="J67" s="37">
        <v>0</v>
      </c>
      <c r="K67" s="39">
        <v>2</v>
      </c>
    </row>
    <row r="68" spans="2:11" ht="29.25" customHeight="1">
      <c r="B68" s="37" t="s">
        <v>88</v>
      </c>
      <c r="C68" s="38">
        <v>1.5</v>
      </c>
      <c r="D68" s="37">
        <v>0</v>
      </c>
      <c r="E68" s="37">
        <v>0</v>
      </c>
      <c r="F68" s="37">
        <v>0.5</v>
      </c>
      <c r="G68" s="37">
        <v>0</v>
      </c>
      <c r="H68" s="37">
        <v>0</v>
      </c>
      <c r="I68" s="37">
        <v>1</v>
      </c>
      <c r="J68" s="37">
        <v>0</v>
      </c>
      <c r="K68" s="39">
        <v>1.5</v>
      </c>
    </row>
    <row r="69" spans="2:11" ht="27.75" customHeight="1">
      <c r="B69" s="41" t="s">
        <v>148</v>
      </c>
      <c r="C69" s="34">
        <f>SUM(C65:C68)</f>
        <v>9</v>
      </c>
      <c r="D69" s="34">
        <f>SUM(D65:D68)</f>
        <v>1.5</v>
      </c>
      <c r="E69" s="34">
        <f>SUM(E65:E68)</f>
        <v>3.5</v>
      </c>
      <c r="F69" s="34">
        <f>SUM(F65:F68)</f>
        <v>1</v>
      </c>
      <c r="G69" s="34">
        <f>SUM(G65:G68)</f>
        <v>0.5</v>
      </c>
      <c r="H69" s="34">
        <f>SUM(H65:H68)</f>
        <v>1.5</v>
      </c>
      <c r="I69" s="34">
        <f>SUM(I65:I68)</f>
        <v>1</v>
      </c>
      <c r="J69" s="34">
        <f>SUM(J65:J68)</f>
        <v>1</v>
      </c>
      <c r="K69" s="42"/>
    </row>
    <row r="70" spans="2:11" ht="15.75" customHeight="1">
      <c r="B70" s="41" t="s">
        <v>149</v>
      </c>
      <c r="C70" s="34">
        <f>SUM(C65:C68)</f>
        <v>9</v>
      </c>
      <c r="D70" s="34">
        <f>C70-(SUM(C65:C68)/7)</f>
        <v>7.7142857142857144</v>
      </c>
      <c r="E70" s="34">
        <f>D70-(SUM(C65:C68)/7)</f>
        <v>6.4285714285714288</v>
      </c>
      <c r="F70" s="34">
        <f>E70-(SUM(C65:C68)/7)</f>
        <v>5.1428571428571432</v>
      </c>
      <c r="G70" s="34">
        <f>F70-(SUM(C65:C68)/7)</f>
        <v>3.8571428571428577</v>
      </c>
      <c r="H70" s="34">
        <f>G70-(SUM(C65:C68)/7)</f>
        <v>2.5714285714285721</v>
      </c>
      <c r="I70" s="34">
        <f>H70-(SUM(C65:C68)/7)</f>
        <v>1.2857142857142863</v>
      </c>
      <c r="J70" s="34">
        <f>I70-(SUM(C65:C68)/7)</f>
        <v>0</v>
      </c>
      <c r="K70" s="42"/>
    </row>
    <row r="71" spans="2:11" ht="15.75" customHeight="1"/>
    <row r="72" spans="2:11" ht="15.75" customHeight="1"/>
    <row r="73" spans="2:11" ht="15.75" customHeight="1"/>
    <row r="74" spans="2:11" ht="15.75" customHeight="1"/>
    <row r="75" spans="2:11" ht="15.75" customHeight="1"/>
    <row r="76" spans="2:11" ht="15.75" customHeight="1"/>
    <row r="77" spans="2:11" ht="15.75" customHeight="1"/>
    <row r="78" spans="2:11" ht="15.75" customHeight="1"/>
    <row r="79" spans="2:11" ht="15.75" customHeight="1">
      <c r="B79" s="56"/>
    </row>
    <row r="80" spans="2:11" ht="15.75" customHeight="1"/>
    <row r="81" spans="2:11" ht="15.75" customHeight="1"/>
    <row r="82" spans="2:11" ht="15.75" customHeight="1"/>
    <row r="83" spans="2:11" ht="15.75" customHeight="1"/>
    <row r="84" spans="2:11" ht="15.75" customHeight="1"/>
    <row r="85" spans="2:11" ht="15.75" customHeight="1"/>
    <row r="86" spans="2:11" ht="15.75" customHeight="1"/>
    <row r="87" spans="2:11" ht="15.75" customHeight="1"/>
    <row r="88" spans="2:11" ht="15.75" customHeight="1"/>
    <row r="89" spans="2:11" ht="15.75" customHeight="1"/>
    <row r="90" spans="2:11" ht="15.75" customHeight="1"/>
    <row r="91" spans="2:11" ht="15.75" customHeight="1"/>
    <row r="92" spans="2:11" ht="25.5" customHeight="1">
      <c r="B92" s="66" t="s">
        <v>182</v>
      </c>
      <c r="C92" s="66"/>
      <c r="D92" s="66"/>
      <c r="E92" s="66"/>
      <c r="F92" s="66"/>
      <c r="G92" s="66"/>
      <c r="H92" s="66"/>
      <c r="I92" s="66"/>
      <c r="J92" s="66"/>
      <c r="K92" s="66"/>
    </row>
    <row r="93" spans="2:11" ht="15.75" customHeight="1">
      <c r="B93" s="34"/>
      <c r="C93" s="34" t="s">
        <v>64</v>
      </c>
      <c r="D93" s="34" t="s">
        <v>140</v>
      </c>
      <c r="E93" s="34" t="s">
        <v>141</v>
      </c>
      <c r="F93" s="34" t="s">
        <v>142</v>
      </c>
      <c r="G93" s="34" t="s">
        <v>143</v>
      </c>
      <c r="H93" s="34" t="s">
        <v>144</v>
      </c>
      <c r="I93" s="34" t="s">
        <v>145</v>
      </c>
      <c r="J93" s="34" t="s">
        <v>146</v>
      </c>
      <c r="K93" s="34" t="s">
        <v>147</v>
      </c>
    </row>
    <row r="94" spans="2:11" ht="15.75" customHeight="1">
      <c r="B94" s="37" t="s">
        <v>90</v>
      </c>
      <c r="C94" s="38">
        <v>1</v>
      </c>
      <c r="D94" s="37">
        <v>0</v>
      </c>
      <c r="E94" s="37">
        <v>0</v>
      </c>
      <c r="F94" s="37">
        <v>0</v>
      </c>
      <c r="G94" s="37">
        <v>0</v>
      </c>
      <c r="H94" s="37">
        <v>0</v>
      </c>
      <c r="I94" s="37">
        <v>0.5</v>
      </c>
      <c r="J94" s="37">
        <v>0.5</v>
      </c>
      <c r="K94" s="39">
        <f>SUM(D94:J94)</f>
        <v>1</v>
      </c>
    </row>
    <row r="95" spans="2:11" ht="15.75" customHeight="1">
      <c r="B95" s="37" t="s">
        <v>93</v>
      </c>
      <c r="C95" s="38">
        <v>1.5</v>
      </c>
      <c r="D95" s="37">
        <v>0</v>
      </c>
      <c r="E95" s="37">
        <v>0</v>
      </c>
      <c r="F95" s="37">
        <v>0</v>
      </c>
      <c r="G95" s="37">
        <v>0.5</v>
      </c>
      <c r="H95" s="37">
        <v>1</v>
      </c>
      <c r="I95" s="37">
        <v>0</v>
      </c>
      <c r="J95" s="37">
        <v>0</v>
      </c>
      <c r="K95" s="39">
        <f t="shared" ref="K95:K97" si="3">SUM(D95:J95)</f>
        <v>1.5</v>
      </c>
    </row>
    <row r="96" spans="2:11" ht="15.75" customHeight="1">
      <c r="B96" s="37" t="s">
        <v>95</v>
      </c>
      <c r="C96" s="38">
        <v>1</v>
      </c>
      <c r="D96" s="37">
        <v>0</v>
      </c>
      <c r="E96" s="37">
        <v>0</v>
      </c>
      <c r="F96" s="37">
        <v>1</v>
      </c>
      <c r="G96" s="37">
        <v>0</v>
      </c>
      <c r="H96" s="37">
        <v>0</v>
      </c>
      <c r="I96" s="37">
        <v>0</v>
      </c>
      <c r="J96" s="37">
        <v>0</v>
      </c>
      <c r="K96" s="39">
        <f t="shared" si="3"/>
        <v>1</v>
      </c>
    </row>
    <row r="97" spans="2:11" ht="15.75" customHeight="1">
      <c r="B97" s="37" t="s">
        <v>97</v>
      </c>
      <c r="C97" s="38">
        <v>2</v>
      </c>
      <c r="D97" s="37">
        <v>1</v>
      </c>
      <c r="E97" s="37">
        <v>1</v>
      </c>
      <c r="F97" s="37">
        <v>0</v>
      </c>
      <c r="G97" s="37">
        <v>0</v>
      </c>
      <c r="H97" s="37">
        <v>0</v>
      </c>
      <c r="I97" s="37">
        <v>0</v>
      </c>
      <c r="J97" s="37">
        <v>0</v>
      </c>
      <c r="K97" s="39">
        <f t="shared" si="3"/>
        <v>2</v>
      </c>
    </row>
    <row r="98" spans="2:11" ht="25.5" customHeight="1">
      <c r="B98" s="41" t="s">
        <v>148</v>
      </c>
      <c r="C98" s="34">
        <f>SUM(C94:C97)</f>
        <v>5.5</v>
      </c>
      <c r="D98" s="34">
        <f>SUM(D94:D97)</f>
        <v>1</v>
      </c>
      <c r="E98" s="34">
        <f>SUM(E94:E97)</f>
        <v>1</v>
      </c>
      <c r="F98" s="34">
        <f>SUM(F94:F97)</f>
        <v>1</v>
      </c>
      <c r="G98" s="34">
        <f>SUM(G94:G97)</f>
        <v>0.5</v>
      </c>
      <c r="H98" s="34">
        <f>SUM(H94:H97)</f>
        <v>1</v>
      </c>
      <c r="I98" s="34">
        <f>SUM(I94:I97)</f>
        <v>0.5</v>
      </c>
      <c r="J98" s="34">
        <f>SUM(J94:J97)</f>
        <v>0.5</v>
      </c>
      <c r="K98" s="42"/>
    </row>
    <row r="99" spans="2:11" ht="15.75" customHeight="1">
      <c r="B99" s="41" t="s">
        <v>149</v>
      </c>
      <c r="C99" s="34">
        <f>SUM(C94:C97)</f>
        <v>5.5</v>
      </c>
      <c r="D99" s="34">
        <f>C99-(SUM(C94:C97)/7)</f>
        <v>4.7142857142857144</v>
      </c>
      <c r="E99" s="34">
        <f>D99-(SUM(C94:C97)/7)</f>
        <v>3.9285714285714288</v>
      </c>
      <c r="F99" s="34">
        <f>E99-(SUM(C94:C97)/7)</f>
        <v>3.1428571428571432</v>
      </c>
      <c r="G99" s="34">
        <f>F99-(SUM(C94:C97)/7)</f>
        <v>2.3571428571428577</v>
      </c>
      <c r="H99" s="34">
        <f>G99-(SUM(C94:C97)/7)</f>
        <v>1.5714285714285721</v>
      </c>
      <c r="I99" s="34">
        <f>H99-(SUM(C94:C97)/7)</f>
        <v>0.78571428571428636</v>
      </c>
      <c r="J99" s="34">
        <f>I99-(SUM(C94:C97)/7)</f>
        <v>0</v>
      </c>
      <c r="K99" s="42"/>
    </row>
    <row r="100" spans="2:11" ht="15.75" customHeight="1"/>
    <row r="101" spans="2:11" ht="15.75" customHeight="1"/>
    <row r="102" spans="2:11" ht="15.75" customHeight="1"/>
    <row r="103" spans="2:11" ht="15.75" customHeight="1"/>
    <row r="104" spans="2:11" ht="15.75" customHeight="1"/>
    <row r="105" spans="2:11" ht="15.75" customHeight="1"/>
    <row r="106" spans="2:11" ht="15.75" customHeight="1"/>
    <row r="107" spans="2:11" ht="15.75" customHeight="1"/>
    <row r="108" spans="2:11" ht="15.75" customHeight="1"/>
    <row r="109" spans="2:11" ht="15.75" customHeight="1"/>
    <row r="110" spans="2:11" ht="15.75" customHeight="1"/>
    <row r="111" spans="2:11" ht="15.75" customHeight="1"/>
    <row r="112" spans="2:11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mergeCells count="6">
    <mergeCell ref="B92:K92"/>
    <mergeCell ref="B21:E31"/>
    <mergeCell ref="E2:I2"/>
    <mergeCell ref="B4:K4"/>
    <mergeCell ref="B33:K33"/>
    <mergeCell ref="B63:K63"/>
  </mergeCells>
  <pageMargins left="0.7" right="0.7" top="0.75" bottom="0.75" header="0" footer="0"/>
  <pageSetup orientation="landscape" r:id="rId1"/>
  <ignoredErrors>
    <ignoredError sqref="K8:K9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</vt:lpstr>
      <vt:lpstr>burdonchart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Mateo Ct</cp:lastModifiedBy>
  <cp:revision/>
  <dcterms:created xsi:type="dcterms:W3CDTF">2023-01-13T00:08:30Z</dcterms:created>
  <dcterms:modified xsi:type="dcterms:W3CDTF">2026-06-01T05:37:51Z</dcterms:modified>
  <cp:category/>
  <cp:contentStatus/>
</cp:coreProperties>
</file>