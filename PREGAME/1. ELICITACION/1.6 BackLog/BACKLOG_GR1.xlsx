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lecuichan2_espe_edu_ec/Documents/"/>
    </mc:Choice>
  </mc:AlternateContent>
  <xr:revisionPtr revIDLastSave="0" documentId="8_{EE89B045-7019-4CEF-AE55-1800EBF02FC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Backlog" sheetId="1" r:id="rId1"/>
    <sheet name="Sprints" sheetId="4" r:id="rId2"/>
    <sheet name="burdonchart - 1" sheetId="3" r:id="rId3"/>
    <sheet name="burdonchart -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5" l="1"/>
  <c r="C106" i="5"/>
  <c r="D106" i="5" s="1"/>
  <c r="E106" i="5" s="1"/>
  <c r="F106" i="5" s="1"/>
  <c r="G106" i="5" s="1"/>
  <c r="H106" i="5" s="1"/>
  <c r="I106" i="5" s="1"/>
  <c r="J106" i="5" s="1"/>
  <c r="J105" i="5"/>
  <c r="C105" i="5"/>
  <c r="K104" i="5"/>
  <c r="K103" i="5"/>
  <c r="K102" i="5"/>
  <c r="K71" i="5"/>
  <c r="K72" i="5"/>
  <c r="C75" i="5"/>
  <c r="D75" i="5" s="1"/>
  <c r="E75" i="5" s="1"/>
  <c r="F75" i="5" s="1"/>
  <c r="G75" i="5" s="1"/>
  <c r="H75" i="5" s="1"/>
  <c r="I75" i="5" s="1"/>
  <c r="J75" i="5" s="1"/>
  <c r="J74" i="5"/>
  <c r="I74" i="5"/>
  <c r="H74" i="5"/>
  <c r="G74" i="5"/>
  <c r="F74" i="5"/>
  <c r="E74" i="5"/>
  <c r="D74" i="5"/>
  <c r="C74" i="5"/>
  <c r="K73" i="5"/>
  <c r="K70" i="5"/>
  <c r="K69" i="5"/>
  <c r="C42" i="5"/>
  <c r="D42" i="5" s="1"/>
  <c r="E42" i="5" s="1"/>
  <c r="F42" i="5" s="1"/>
  <c r="G42" i="5" s="1"/>
  <c r="H42" i="5" s="1"/>
  <c r="I42" i="5" s="1"/>
  <c r="J42" i="5" s="1"/>
  <c r="J41" i="5"/>
  <c r="I41" i="5"/>
  <c r="H41" i="5"/>
  <c r="G41" i="5"/>
  <c r="F41" i="5"/>
  <c r="E41" i="5"/>
  <c r="D41" i="5"/>
  <c r="C41" i="5"/>
  <c r="K39" i="5"/>
  <c r="K38" i="5"/>
  <c r="K37" i="5"/>
  <c r="J8" i="5"/>
  <c r="C9" i="5"/>
  <c r="D9" i="5" s="1"/>
  <c r="E9" i="5" s="1"/>
  <c r="F9" i="5" s="1"/>
  <c r="G9" i="5" s="1"/>
  <c r="H9" i="5" s="1"/>
  <c r="I8" i="5"/>
  <c r="H8" i="5"/>
  <c r="G8" i="5"/>
  <c r="F8" i="5"/>
  <c r="E8" i="5"/>
  <c r="D8" i="5"/>
  <c r="C8" i="5"/>
  <c r="K7" i="5"/>
  <c r="K6" i="5"/>
  <c r="K5" i="5"/>
  <c r="J40" i="3"/>
  <c r="I40" i="3"/>
  <c r="H40" i="3"/>
  <c r="G40" i="3"/>
  <c r="F40" i="3"/>
  <c r="E40" i="3"/>
  <c r="D40" i="3"/>
  <c r="J39" i="3"/>
  <c r="I39" i="3"/>
  <c r="H39" i="3"/>
  <c r="G39" i="3"/>
  <c r="F39" i="3"/>
  <c r="E39" i="3"/>
  <c r="D39" i="3"/>
  <c r="C40" i="3"/>
  <c r="C39" i="3"/>
  <c r="C12" i="3"/>
  <c r="D12" i="3" s="1"/>
  <c r="E12" i="3" s="1"/>
  <c r="F12" i="3" s="1"/>
  <c r="G12" i="3" s="1"/>
  <c r="H12" i="3" s="1"/>
  <c r="I12" i="3" s="1"/>
  <c r="J12" i="3" s="1"/>
  <c r="K7" i="3"/>
  <c r="K8" i="3"/>
  <c r="K9" i="3"/>
  <c r="K10" i="3"/>
  <c r="K6" i="3"/>
  <c r="D11" i="3"/>
  <c r="E11" i="3"/>
  <c r="F11" i="3"/>
  <c r="G11" i="3"/>
  <c r="H11" i="3"/>
  <c r="I11" i="3"/>
  <c r="J11" i="3"/>
  <c r="C11" i="3"/>
  <c r="I9" i="5" l="1"/>
  <c r="J9" i="5" s="1"/>
</calcChain>
</file>

<file path=xl/sharedStrings.xml><?xml version="1.0" encoding="utf-8"?>
<sst xmlns="http://schemas.openxmlformats.org/spreadsheetml/2006/main" count="564" uniqueCount="219">
  <si>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</si>
  <si>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</si>
  <si>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</si>
  <si>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</si>
  <si>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</si>
  <si>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</si>
  <si>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</si>
  <si>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</si>
  <si>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</si>
  <si>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</si>
  <si>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</si>
  <si>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</si>
  <si>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</si>
  <si>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</si>
  <si>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</si>
  <si>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 xml:space="preserve">En ejecucion 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</si>
  <si>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</si>
  <si>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</si>
  <si>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</si>
  <si>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</si>
  <si>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</si>
  <si>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 xml:space="preserve">Gestion de Productos </t>
  </si>
  <si>
    <t>Modificar los datos de los productos ingresados</t>
  </si>
  <si>
    <t>Mantener la información actualizada para evitar fallos en disponibilidad de productos</t>
  </si>
  <si>
    <t>REQ004</t>
  </si>
  <si>
    <t>Registro de Clientes</t>
  </si>
  <si>
    <t>Ingresar la informacion necesaria de cada cliente (Cedula, Nombre,etc)</t>
  </si>
  <si>
    <t>Identificar correctamente a los compradores y su zonas de entregas</t>
  </si>
  <si>
    <t>REQ005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</si>
  <si>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</si>
  <si>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</si>
  <si>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</si>
  <si>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REQ006</t>
  </si>
  <si>
    <t>Alerta de Fecha Cumpleaños Clientes</t>
  </si>
  <si>
    <t>Ver una alerta automática en el panel con los clientes que cumplen años en el día o la semana actual.</t>
  </si>
  <si>
    <t>Gestionar felicitaciones oportunas y ofrecer promociones exclusivas para mejorar su fidelización.</t>
  </si>
  <si>
    <t>REQ007</t>
  </si>
  <si>
    <t>Registro Clientes Potenciales</t>
  </si>
  <si>
    <t>Registrar personas interesadas en los productos</t>
  </si>
  <si>
    <t>Llevar un seguimiento organizado de posibles compradores</t>
  </si>
  <si>
    <t>REQ008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</si>
  <si>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</si>
  <si>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</si>
  <si>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</si>
  <si>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REQ009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</si>
  <si>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</si>
  <si>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</si>
  <si>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</si>
  <si>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REQ010</t>
  </si>
  <si>
    <t>Catalogo de Productos</t>
  </si>
  <si>
    <t xml:space="preserve">Visualizar los productos registrados con su imagen, nombre, tamaño y precio </t>
  </si>
  <si>
    <t>Seleccionar y agregar productos de forma rápida al momento de realizar una venta</t>
  </si>
  <si>
    <t>No iniciado</t>
  </si>
  <si>
    <t>REQ011</t>
  </si>
  <si>
    <t xml:space="preserve">Registros de Ventas </t>
  </si>
  <si>
    <t>Registrar las ventas realizadas en el sistema.</t>
  </si>
  <si>
    <t>Conocer la ganancia del dia y obtener los productos vendidos</t>
  </si>
  <si>
    <t>REQ012</t>
  </si>
  <si>
    <t>Almacenamiento en Excel</t>
  </si>
  <si>
    <t>Dejar de usar archivos de texto y guardar los datos en Excel</t>
  </si>
  <si>
    <t>Abrir y revisar los datos del sistema de forma facil desde Excel</t>
  </si>
  <si>
    <t>REQ013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</si>
  <si>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</si>
  <si>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</si>
  <si>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</si>
  <si>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REQ014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</si>
  <si>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</si>
  <si>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</si>
  <si>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</si>
  <si>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</si>
  <si>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Navegacion ,Registro y Gestion de Productos y Logica de Clientes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</si>
  <si>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</si>
  <si>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</si>
  <si>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</si>
  <si>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</si>
  <si>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</si>
  <si>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</si>
  <si>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</si>
  <si>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</si>
  <si>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Terminado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</si>
  <si>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</si>
  <si>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</si>
  <si>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</si>
  <si>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</si>
  <si>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</si>
  <si>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</si>
  <si>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</si>
  <si>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</si>
  <si>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</si>
  <si>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</si>
  <si>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</si>
  <si>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</si>
  <si>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</si>
  <si>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</si>
  <si>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REQ002-1</t>
  </si>
  <si>
    <t xml:space="preserve">Diseñar clase Producto </t>
  </si>
  <si>
    <t>Johan Catota</t>
  </si>
  <si>
    <t>REQ002-2</t>
  </si>
  <si>
    <t>Implementar registros de productos</t>
  </si>
  <si>
    <t>REQ002-3</t>
  </si>
  <si>
    <t>Programacion de Guardado</t>
  </si>
  <si>
    <t>REQ002-4</t>
  </si>
  <si>
    <t>Guardado de Catalogo Productos</t>
  </si>
  <si>
    <t>Gestion de Productos</t>
  </si>
  <si>
    <t>REQ003-1</t>
  </si>
  <si>
    <t>Implementar consulta de Producttos</t>
  </si>
  <si>
    <t>REQ003-2</t>
  </si>
  <si>
    <t xml:space="preserve">Implementar CRUD Producto </t>
  </si>
  <si>
    <t>REQ003-3</t>
  </si>
  <si>
    <t xml:space="preserve">Conexión a la Vista Principal </t>
  </si>
  <si>
    <t>REQ003-4</t>
  </si>
  <si>
    <t>Actualizacion de Tabla Productos</t>
  </si>
  <si>
    <t>Registro de Cliente</t>
  </si>
  <si>
    <t>Ingresar los informacion necesaria de cada cliente (Cedula, Nombre,etc)</t>
  </si>
  <si>
    <t>Identificar correctamente a los compradores y su zona de entregas</t>
  </si>
  <si>
    <t>Diseño de la interfaz para el registro y edición de datos del cliente.</t>
  </si>
  <si>
    <t>Eatan Ayala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</si>
  <si>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</si>
  <si>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</si>
  <si>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</si>
  <si>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>Actualizacion de informacion de Clientes</t>
  </si>
  <si>
    <t>REQ004-1</t>
  </si>
  <si>
    <t>Conexión de la GUI con los metodos para la modificacion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</si>
  <si>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</si>
  <si>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</si>
  <si>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</si>
  <si>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</si>
  <si>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</si>
  <si>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</si>
  <si>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2</t>
  </si>
  <si>
    <t>Alerta de Cumpleaños, Registro y Gestion de Clientes Potenciales</t>
  </si>
  <si>
    <t xml:space="preserve">Tareas </t>
  </si>
  <si>
    <t>REQ006-1</t>
  </si>
  <si>
    <t>Agregar el atributo de Fecha de cumpleaños al Cliente</t>
  </si>
  <si>
    <t>REQ006-2</t>
  </si>
  <si>
    <t xml:space="preserve"> Agregar al formulario del cliente el campo de elección de fecha</t>
  </si>
  <si>
    <t>REQ006-3</t>
  </si>
  <si>
    <t>Configurar que el ingreso no sea obligatorio</t>
  </si>
  <si>
    <t>REQ007-1</t>
  </si>
  <si>
    <t>Conexion de la GUI con los metodos para el ingreso de datos</t>
  </si>
  <si>
    <t>REQ007-2</t>
  </si>
  <si>
    <t>Ingreso de datos para un posible cliente dependiendo el campo</t>
  </si>
  <si>
    <t>REQ007-3</t>
  </si>
  <si>
    <t>Asignacion del Estado de "Cliente Pontencial"</t>
  </si>
  <si>
    <t>REQ007-4</t>
  </si>
  <si>
    <t xml:space="preserve">Insertar en la base de datos el cliente registrado </t>
  </si>
  <si>
    <t>REQ008-1</t>
  </si>
  <si>
    <t>Maquetación del modulo de clientes potenciales</t>
  </si>
  <si>
    <t>REQ008-2</t>
  </si>
  <si>
    <t>Implementación de consulta de clientes potenciales</t>
  </si>
  <si>
    <t>REQ008-3</t>
  </si>
  <si>
    <t>Actualización de datos de Clientes Potenciales</t>
  </si>
  <si>
    <t>REQ008-4</t>
  </si>
  <si>
    <t>Gestión de eliminacion de clientes potenciales</t>
  </si>
  <si>
    <t>REQ008-5</t>
  </si>
  <si>
    <t>Pruebas del módulo de clientes potenciales</t>
  </si>
  <si>
    <t>No iniciada</t>
  </si>
  <si>
    <t>REQ009-1</t>
  </si>
  <si>
    <t>Filtrado y consulta de clientes por ID o cédula</t>
  </si>
  <si>
    <t>Katherine Caizaluisa</t>
  </si>
  <si>
    <t>REQ009-2</t>
  </si>
  <si>
    <t>Cambio de estado del Cliente</t>
  </si>
  <si>
    <t>REQ009-3</t>
  </si>
  <si>
    <t>Validaciones y mensajes de error</t>
  </si>
  <si>
    <t>SPRINT 3</t>
  </si>
  <si>
    <t>Modulo de Ventas y Almacenamiento Excel</t>
  </si>
  <si>
    <t>REQ010-1</t>
  </si>
  <si>
    <t>REQ010-2</t>
  </si>
  <si>
    <t>REQ010-3</t>
  </si>
  <si>
    <t>REQ010-4</t>
  </si>
  <si>
    <t>REQ010-5</t>
  </si>
  <si>
    <t>Registro de Ventas</t>
  </si>
  <si>
    <t>REQ011-1</t>
  </si>
  <si>
    <t>REQ011-2</t>
  </si>
  <si>
    <t>REQ011-3</t>
  </si>
  <si>
    <t>REQ011-4</t>
  </si>
  <si>
    <t>Almacenamiento Excel</t>
  </si>
  <si>
    <t>REQ0012-1</t>
  </si>
  <si>
    <t>REQ0012-2</t>
  </si>
  <si>
    <t>REQ0012-3</t>
  </si>
  <si>
    <t>REQ0012-4</t>
  </si>
  <si>
    <t>SPRINT 4</t>
  </si>
  <si>
    <t>Generarcion de Reportes Nota de Venta y Excel</t>
  </si>
  <si>
    <t>Emision de Nota de Ventas</t>
  </si>
  <si>
    <t>REQ013-1</t>
  </si>
  <si>
    <t>REQ013-2</t>
  </si>
  <si>
    <t>REQ013-3</t>
  </si>
  <si>
    <t>REQ013-4</t>
  </si>
  <si>
    <t>REQ014-1</t>
  </si>
  <si>
    <t>REQ014-2</t>
  </si>
  <si>
    <t>REQ014-3</t>
  </si>
  <si>
    <t>REQ014-4</t>
  </si>
  <si>
    <t>SPRINT 1  - Navegacion, Registro de Productos y Logica Clientes</t>
  </si>
  <si>
    <t>REQ001 - NAVEGACIÓN POR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</si>
  <si>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</si>
  <si>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</si>
  <si>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</si>
  <si>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</si>
  <si>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</si>
  <si>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</si>
  <si>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</si>
  <si>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</si>
  <si>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</si>
  <si>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</si>
  <si>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REQ002 - REGISTRO DE PRODUCTOS</t>
  </si>
  <si>
    <t> </t>
  </si>
  <si>
    <t xml:space="preserve">Dia 7 </t>
  </si>
  <si>
    <t xml:space="preserve">Dia 6 </t>
  </si>
  <si>
    <t xml:space="preserve">Dia 5 </t>
  </si>
  <si>
    <t xml:space="preserve">Dia 4 </t>
  </si>
  <si>
    <t xml:space="preserve">Dia 3 </t>
  </si>
  <si>
    <t xml:space="preserve">Dia 2  </t>
  </si>
  <si>
    <t>REQ003 - REGISTRO DE CLIENTES</t>
  </si>
  <si>
    <t xml:space="preserve">REQ004-ACTUALIZACION DE INFORMACION DE CLIENTES </t>
  </si>
  <si>
    <t xml:space="preserve">Dia 1 </t>
  </si>
  <si>
    <t>REQ006 - ALERTA DE FECHA DE CUMPLEAÑOS</t>
  </si>
  <si>
    <t>REQ007 -REGISTRO DE CLIENTES POTENCIALES</t>
  </si>
  <si>
    <t>REQ008 - GESTIÓN DE CLIENTES POTENCIALES</t>
  </si>
  <si>
    <t>REQ009 - GESTIÓN DE CLIENTES INACTIVOS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</si>
</sst>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</font>
    <font>
      <sz val="11"/>
      <color rgb="FF242424"/>
      <name val="Aptos Narrow"/>
      <charset val="1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</cellStyleXfs>
  <cellXfs count="87">
    <xf numFmtId="0" fontId="0" fillId="0" borderId="0" xfId="0"/>
    <xf numFmtId="0" fontId="0" fillId="0" borderId="1" xfId="0" applyBorder="1"/>
    <xf numFmtId="0" fontId="11" fillId="0" borderId="1" xfId="1"/>
    <xf numFmtId="0" fontId="2" fillId="0" borderId="1" xfId="1" applyFont="1"/>
    <xf numFmtId="0" fontId="11" fillId="0" borderId="1" xfId="1" applyAlignment="1">
      <alignment wrapText="1"/>
    </xf>
    <xf numFmtId="0" fontId="14" fillId="0" borderId="0" xfId="0" applyFont="1" applyAlignment="1">
      <alignment horizontal="center" vertical="center"/>
    </xf>
    <xf numFmtId="2" fontId="11" fillId="0" borderId="2" xfId="1" applyNumberForma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0" xfId="0" applyFont="1"/>
    <xf numFmtId="0" fontId="12" fillId="7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3" borderId="4" xfId="1" applyFill="1" applyBorder="1"/>
    <xf numFmtId="0" fontId="1" fillId="0" borderId="4" xfId="1" applyFont="1" applyBorder="1" applyAlignment="1">
      <alignment horizontal="center"/>
    </xf>
    <xf numFmtId="0" fontId="2" fillId="2" borderId="4" xfId="1" applyFont="1" applyFill="1" applyBorder="1"/>
    <xf numFmtId="0" fontId="2" fillId="2" borderId="4" xfId="1" applyFont="1" applyFill="1" applyBorder="1" applyAlignment="1">
      <alignment horizontal="left" wrapText="1"/>
    </xf>
    <xf numFmtId="0" fontId="2" fillId="0" borderId="4" xfId="1" applyFont="1" applyBorder="1"/>
    <xf numFmtId="0" fontId="1" fillId="0" borderId="4" xfId="1" applyFont="1" applyBorder="1"/>
    <xf numFmtId="0" fontId="5" fillId="0" borderId="4" xfId="1" applyFont="1" applyBorder="1"/>
    <xf numFmtId="0" fontId="11" fillId="0" borderId="4" xfId="1" applyBorder="1"/>
    <xf numFmtId="0" fontId="5" fillId="0" borderId="4" xfId="1" applyFont="1" applyBorder="1" applyAlignment="1">
      <alignment horizontal="left" vertical="top"/>
    </xf>
    <xf numFmtId="0" fontId="2" fillId="2" borderId="4" xfId="1" applyFont="1" applyFill="1" applyBorder="1" applyAlignment="1">
      <alignment wrapText="1"/>
    </xf>
    <xf numFmtId="0" fontId="9" fillId="0" borderId="4" xfId="1" applyFont="1" applyBorder="1"/>
    <xf numFmtId="0" fontId="5" fillId="0" borderId="13" xfId="1" applyFont="1" applyBorder="1"/>
    <xf numFmtId="0" fontId="11" fillId="0" borderId="13" xfId="1" applyBorder="1"/>
    <xf numFmtId="0" fontId="2" fillId="0" borderId="13" xfId="1" applyFont="1" applyBorder="1"/>
    <xf numFmtId="0" fontId="11" fillId="3" borderId="2" xfId="1" applyFill="1" applyBorder="1"/>
    <xf numFmtId="0" fontId="2" fillId="2" borderId="6" xfId="1" applyFont="1" applyFill="1" applyBorder="1"/>
    <xf numFmtId="0" fontId="2" fillId="2" borderId="6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wrapText="1"/>
    </xf>
    <xf numFmtId="0" fontId="11" fillId="0" borderId="2" xfId="1" applyBorder="1"/>
    <xf numFmtId="0" fontId="5" fillId="0" borderId="2" xfId="1" applyFont="1" applyBorder="1"/>
    <xf numFmtId="0" fontId="2" fillId="2" borderId="2" xfId="1" applyFont="1" applyFill="1" applyBorder="1"/>
    <xf numFmtId="0" fontId="2" fillId="2" borderId="2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wrapText="1"/>
    </xf>
    <xf numFmtId="0" fontId="1" fillId="0" borderId="2" xfId="1" applyFont="1" applyBorder="1"/>
    <xf numFmtId="0" fontId="2" fillId="0" borderId="2" xfId="1" applyFont="1" applyBorder="1"/>
    <xf numFmtId="0" fontId="9" fillId="0" borderId="2" xfId="1" applyFont="1" applyBorder="1"/>
    <xf numFmtId="0" fontId="10" fillId="0" borderId="2" xfId="1" applyFont="1" applyBorder="1"/>
    <xf numFmtId="0" fontId="3" fillId="0" borderId="1" xfId="1" applyFont="1"/>
    <xf numFmtId="0" fontId="4" fillId="0" borderId="1" xfId="1" applyFont="1"/>
    <xf numFmtId="0" fontId="1" fillId="0" borderId="3" xfId="2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wrapText="1"/>
    </xf>
    <xf numFmtId="0" fontId="7" fillId="0" borderId="2" xfId="2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4" borderId="2" xfId="1" applyFill="1" applyBorder="1" applyAlignment="1">
      <alignment horizontal="center" vertical="center"/>
    </xf>
    <xf numFmtId="0" fontId="11" fillId="5" borderId="2" xfId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1" fillId="0" borderId="1" xfId="1" applyAlignment="1">
      <alignment horizontal="center" vertical="center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left" wrapText="1"/>
    </xf>
    <xf numFmtId="0" fontId="2" fillId="2" borderId="2" xfId="5" applyFont="1" applyFill="1" applyBorder="1" applyAlignment="1">
      <alignment wrapText="1"/>
    </xf>
    <xf numFmtId="0" fontId="11" fillId="0" borderId="2" xfId="5" applyBorder="1"/>
    <xf numFmtId="0" fontId="1" fillId="0" borderId="2" xfId="5" applyFont="1" applyBorder="1"/>
    <xf numFmtId="0" fontId="2" fillId="0" borderId="2" xfId="5" applyFont="1" applyBorder="1"/>
    <xf numFmtId="0" fontId="1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8" fillId="10" borderId="2" xfId="3" applyFont="1" applyFill="1" applyBorder="1" applyAlignment="1">
      <alignment horizontal="left" vertical="center" wrapText="1"/>
    </xf>
    <xf numFmtId="0" fontId="8" fillId="0" borderId="2" xfId="1" applyFont="1" applyBorder="1"/>
    <xf numFmtId="0" fontId="8" fillId="3" borderId="2" xfId="1" applyFont="1" applyFill="1" applyBorder="1"/>
    <xf numFmtId="0" fontId="14" fillId="6" borderId="2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1" fontId="14" fillId="0" borderId="2" xfId="0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8" fillId="3" borderId="10" xfId="1" applyFont="1" applyFill="1" applyBorder="1" applyAlignment="1">
      <alignment horizontal="left" vertical="center" wrapText="1"/>
    </xf>
    <xf numFmtId="0" fontId="8" fillId="3" borderId="11" xfId="1" applyFont="1" applyFill="1" applyBorder="1" applyAlignment="1">
      <alignment horizontal="left" vertical="center" wrapText="1"/>
    </xf>
    <xf numFmtId="0" fontId="8" fillId="3" borderId="12" xfId="1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left" vertical="center" wrapText="1"/>
    </xf>
    <xf numFmtId="0" fontId="0" fillId="0" borderId="2" xfId="1" applyFont="1" applyBorder="1" applyAlignment="1">
      <alignment horizontal="center"/>
    </xf>
    <xf numFmtId="0" fontId="13" fillId="0" borderId="1" xfId="1" applyFont="1" applyAlignment="1">
      <alignment horizontal="left" vertical="center" wrapText="1"/>
    </xf>
    <xf numFmtId="0" fontId="0" fillId="0" borderId="1" xfId="1" applyFont="1" applyAlignment="1">
      <alignment horizontal="center"/>
    </xf>
    <xf numFmtId="0" fontId="11" fillId="0" borderId="2" xfId="1" applyBorder="1" applyAlignment="1">
      <alignment horizontal="center" vertical="center"/>
    </xf>
    <xf numFmtId="0" fontId="11" fillId="0" borderId="2" xfId="1" applyBorder="1" applyAlignment="1">
      <alignment horizontal="center"/>
    </xf>
    <xf numFmtId="0" fontId="3" fillId="0" borderId="4" xfId="1" applyFont="1" applyBorder="1" applyAlignment="1"/>
    <xf numFmtId="0" fontId="4" fillId="0" borderId="4" xfId="1" applyFont="1" applyBorder="1" applyAlignment="1"/>
  </cellXfs>
  <cellStyles count="6">
    <cellStyle name="Normal" xfId="0" builtinId="0"/>
    <cellStyle name="Normal 2" xfId="1" xr:uid="{27F413C8-0966-4A49-84BA-E7F5075EB20D}"/>
    <cellStyle name="Normal 3" xfId="2" xr:uid="{35736307-809D-4C30-9AFE-6C8726CC5C49}"/>
    <cellStyle name="Normal 4" xfId="3" xr:uid="{FDA1A4AB-0E0D-4811-84A6-DE8F796DFFEC}"/>
    <cellStyle name="Normal 5" xfId="4" xr:uid="{5AE2B4F0-221A-4A83-8946-689A92C7494A}"/>
    <cellStyle name="Normal 6" xfId="5" xr:uid="{71CAFE90-95FC-4A82-AC1F-5B13F0F60C12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tx>
            <c:strRef>
              <c:f>'burdonchart - 1'!$B$12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'burdonchart - 1'!$C$39:$J$39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4C94-B775-40E76D57638E}"/>
            </c:ext>
          </c:extLst>
        </c:ser>
        <c:ser>
          <c:idx val="1"/>
          <c:order val="1"/>
          <c:tx>
            <c:strRef>
              <c:f>'burdonchart - 1'!$B$40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'burdonchart - 1'!$C$40:$J$40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7-4C94-B775-40E76D57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- 1'!$B$68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- 1'!$C$68:$J$68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C-4BB3-AE9C-4C4DFA8304E5}"/>
            </c:ext>
          </c:extLst>
        </c:ser>
        <c:ser>
          <c:idx val="1"/>
          <c:order val="1"/>
          <c:tx>
            <c:strRef>
              <c:f>'burdonchart - 1'!$B$69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- 1'!$C$69:$J$69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C-4BB3-AE9C-4C4DFA83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7066296497822"/>
          <c:y val="8.6611126227830668E-2"/>
          <c:w val="0.31106216756144234"/>
          <c:h val="0.12620110392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- 1'!$B$97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- 1'!$C$97:$J$97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4-438C-9DD7-6E38D5B4F171}"/>
            </c:ext>
          </c:extLst>
        </c:ser>
        <c:ser>
          <c:idx val="1"/>
          <c:order val="1"/>
          <c:tx>
            <c:strRef>
              <c:f>'burdonchart - 1'!$B$98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- 1'!$C$98:$J$98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4-438C-9DD7-6E38D5B4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- 2'!$C$8:$J$8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C-4BD0-BF7E-A2C84802B8F8}"/>
            </c:ext>
          </c:extLst>
        </c:ser>
        <c:ser>
          <c:idx val="1"/>
          <c:order val="1"/>
          <c:tx>
            <c:strRef>
              <c:f>'burdonchart - 2'!$B$9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- 2'!$C$9:$J$9</c:f>
              <c:numCache>
                <c:formatCode>General</c:formatCode>
                <c:ptCount val="8"/>
                <c:pt idx="0">
                  <c:v>5</c:v>
                </c:pt>
                <c:pt idx="1">
                  <c:v>4.2857142857142856</c:v>
                </c:pt>
                <c:pt idx="2">
                  <c:v>3.5714285714285712</c:v>
                </c:pt>
                <c:pt idx="3">
                  <c:v>2.8571428571428568</c:v>
                </c:pt>
                <c:pt idx="4">
                  <c:v>2.1428571428571423</c:v>
                </c:pt>
                <c:pt idx="5">
                  <c:v>1.4285714285714279</c:v>
                </c:pt>
                <c:pt idx="6">
                  <c:v>0.71428571428571364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C-4BD0-BF7E-A2C84802B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- 2'!$B$41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- 2'!$C$41:$J$41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3-4BCA-A9C0-5BB9DA906598}"/>
            </c:ext>
          </c:extLst>
        </c:ser>
        <c:ser>
          <c:idx val="1"/>
          <c:order val="1"/>
          <c:tx>
            <c:strRef>
              <c:f>'burdonchart - 2'!$B$42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- 2'!$C$42:$J$42</c:f>
              <c:numCache>
                <c:formatCode>General</c:formatCode>
                <c:ptCount val="8"/>
                <c:pt idx="0">
                  <c:v>4</c:v>
                </c:pt>
                <c:pt idx="1">
                  <c:v>3.4285714285714288</c:v>
                </c:pt>
                <c:pt idx="2">
                  <c:v>2.8571428571428577</c:v>
                </c:pt>
                <c:pt idx="3">
                  <c:v>2.2857142857142865</c:v>
                </c:pt>
                <c:pt idx="4">
                  <c:v>1.7142857142857151</c:v>
                </c:pt>
                <c:pt idx="5">
                  <c:v>1.1428571428571437</c:v>
                </c:pt>
                <c:pt idx="6">
                  <c:v>0.57142857142857229</c:v>
                </c:pt>
                <c:pt idx="7">
                  <c:v>8.8817841970012523E-16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3-4BCA-A9C0-5BB9DA90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- 2'!$B$74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- 2'!$C$74:$J$74</c:f>
              <c:numCache>
                <c:formatCode>General</c:formatCode>
                <c:ptCount val="8"/>
                <c:pt idx="0">
                  <c:v>11.5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E-4855-91F3-BF245070D684}"/>
            </c:ext>
          </c:extLst>
        </c:ser>
        <c:ser>
          <c:idx val="1"/>
          <c:order val="1"/>
          <c:tx>
            <c:strRef>
              <c:f>'burdonchart - 2'!$B$75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- 2'!$C$75:$J$75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E-4855-91F3-BF245070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- 2'!$B$105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- 2'!$C$105:$J$105</c:f>
              <c:numCache>
                <c:formatCode>General</c:formatCode>
                <c:ptCount val="8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293-AB45-4B8EDC5F0F28}"/>
            </c:ext>
          </c:extLst>
        </c:ser>
        <c:ser>
          <c:idx val="1"/>
          <c:order val="1"/>
          <c:tx>
            <c:strRef>
              <c:f>'burdonchart - 2'!$B$106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- 2'!$C$106:$J$106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B-4293-AB45-4B8EDC5F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DB4B97-485A-6F7E-2651-A0CDB1EFA0AB}"/>
            </a:ext>
          </a:extLst>
        </xdr:cNvPr>
        <xdr:cNvSpPr txBox="1"/>
      </xdr:nvSpPr>
      <xdr:spPr>
        <a:xfrm>
          <a:off x="2980225" y="2643283"/>
          <a:ext cx="5624674" cy="26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64" name="Chart 1" title="Gráfico">
          <a:extLst>
            <a:ext uri="{FF2B5EF4-FFF2-40B4-BE49-F238E27FC236}">
              <a16:creationId xmlns:a16="http://schemas.microsoft.com/office/drawing/2014/main" id="{A5763812-8B3A-4F7E-8858-B844F451C08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F222126-8194-49D1-9563-4AAA2EF0AEE8}"/>
            </a:ext>
          </a:extLst>
        </xdr:cNvPr>
        <xdr:cNvSpPr txBox="1"/>
      </xdr:nvSpPr>
      <xdr:spPr>
        <a:xfrm>
          <a:off x="3214197" y="8490185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1011296</xdr:colOff>
      <xdr:row>70</xdr:row>
      <xdr:rowOff>39198</xdr:rowOff>
    </xdr:from>
    <xdr:ext cx="8137406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CA0A6598-3FD8-4F8A-A47E-F559BD97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846666</xdr:colOff>
      <xdr:row>70</xdr:row>
      <xdr:rowOff>54876</xdr:rowOff>
    </xdr:from>
    <xdr:to>
      <xdr:col>8</xdr:col>
      <xdr:colOff>963687</xdr:colOff>
      <xdr:row>71</xdr:row>
      <xdr:rowOff>126541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66283CF-5075-411C-ACCF-2188A73D43CB}"/>
            </a:ext>
          </a:extLst>
        </xdr:cNvPr>
        <xdr:cNvSpPr txBox="1"/>
      </xdr:nvSpPr>
      <xdr:spPr>
        <a:xfrm>
          <a:off x="3449382" y="1475395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752592</xdr:colOff>
      <xdr:row>98</xdr:row>
      <xdr:rowOff>188149</xdr:rowOff>
    </xdr:from>
    <xdr:ext cx="8137406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6F954CEF-3859-4B3F-B508-AD9C504D0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2</xdr:col>
      <xdr:colOff>603642</xdr:colOff>
      <xdr:row>99</xdr:row>
      <xdr:rowOff>15678</xdr:rowOff>
    </xdr:from>
    <xdr:to>
      <xdr:col>8</xdr:col>
      <xdr:colOff>720663</xdr:colOff>
      <xdr:row>100</xdr:row>
      <xdr:rowOff>87343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39B3D90-5A0C-4C87-B051-40939E8D6ACB}"/>
            </a:ext>
          </a:extLst>
        </xdr:cNvPr>
        <xdr:cNvSpPr txBox="1"/>
      </xdr:nvSpPr>
      <xdr:spPr>
        <a:xfrm>
          <a:off x="3206358" y="20649258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53569</xdr:rowOff>
    </xdr:from>
    <xdr:ext cx="9065773" cy="3517077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F63C2296-7618-4379-8892-C351C486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1640635</xdr:colOff>
      <xdr:row>10</xdr:row>
      <xdr:rowOff>12700</xdr:rowOff>
    </xdr:from>
    <xdr:to>
      <xdr:col>8</xdr:col>
      <xdr:colOff>32808</xdr:colOff>
      <xdr:row>11</xdr:row>
      <xdr:rowOff>121603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D825ED6-462F-4CEA-8EEB-7BC991088C90}"/>
            </a:ext>
          </a:extLst>
        </xdr:cNvPr>
        <xdr:cNvSpPr txBox="1"/>
      </xdr:nvSpPr>
      <xdr:spPr>
        <a:xfrm>
          <a:off x="2402635" y="160020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REQ006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ALERTA DE FECHA DE CUMPLEAÑOS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43</xdr:row>
      <xdr:rowOff>40869</xdr:rowOff>
    </xdr:from>
    <xdr:ext cx="9065773" cy="3517077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90C72B6B-4422-4A62-B845-1504270E1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1640635</xdr:colOff>
      <xdr:row>43</xdr:row>
      <xdr:rowOff>0</xdr:rowOff>
    </xdr:from>
    <xdr:to>
      <xdr:col>8</xdr:col>
      <xdr:colOff>32808</xdr:colOff>
      <xdr:row>44</xdr:row>
      <xdr:rowOff>108903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9557FDA-1E8A-49B3-A79A-9702707E55A5}"/>
            </a:ext>
          </a:extLst>
        </xdr:cNvPr>
        <xdr:cNvSpPr txBox="1"/>
      </xdr:nvSpPr>
      <xdr:spPr>
        <a:xfrm>
          <a:off x="2399107" y="6667500"/>
          <a:ext cx="5624118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REQ007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76</xdr:row>
      <xdr:rowOff>40869</xdr:rowOff>
    </xdr:from>
    <xdr:ext cx="9065773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24BCF082-A625-4E51-82E4-7E4F0DFE8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1</xdr:col>
      <xdr:colOff>1640635</xdr:colOff>
      <xdr:row>76</xdr:row>
      <xdr:rowOff>0</xdr:rowOff>
    </xdr:from>
    <xdr:to>
      <xdr:col>8</xdr:col>
      <xdr:colOff>32808</xdr:colOff>
      <xdr:row>77</xdr:row>
      <xdr:rowOff>108903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63B5BAA-AAD8-4DBB-AD3B-7B3325FB38B2}"/>
            </a:ext>
          </a:extLst>
        </xdr:cNvPr>
        <xdr:cNvSpPr txBox="1"/>
      </xdr:nvSpPr>
      <xdr:spPr>
        <a:xfrm>
          <a:off x="2402635" y="12031579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REQ008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GESTIÓN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107</xdr:row>
      <xdr:rowOff>40869</xdr:rowOff>
    </xdr:from>
    <xdr:ext cx="9065773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34C77BB0-6F87-4CDF-B11F-DBF866BA3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</xdr:col>
      <xdr:colOff>1640635</xdr:colOff>
      <xdr:row>107</xdr:row>
      <xdr:rowOff>0</xdr:rowOff>
    </xdr:from>
    <xdr:to>
      <xdr:col>8</xdr:col>
      <xdr:colOff>32808</xdr:colOff>
      <xdr:row>108</xdr:row>
      <xdr:rowOff>108903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DCC702D-C099-4569-AA64-7C71370F6BA2}"/>
            </a:ext>
          </a:extLst>
        </xdr:cNvPr>
        <xdr:cNvSpPr txBox="1"/>
      </xdr:nvSpPr>
      <xdr:spPr>
        <a:xfrm>
          <a:off x="2402635" y="17165053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REQ009 - GESTIÓN DE CLIENTES INACTIVOS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opLeftCell="D1" zoomScale="146" zoomScaleNormal="85" workbookViewId="0">
      <selection activeCell="A10" sqref="A10:XFD10"/>
    </sheetView>
  </sheetViews>
  <sheetFormatPr defaultColWidth="12.5703125" defaultRowHeight="15" customHeight="1"/>
  <cols>
    <col min="1" max="1" width="12.5703125" customWidth="1"/>
    <col min="2" max="2" width="34.85546875" bestFit="1" customWidth="1"/>
    <col min="3" max="3" width="19.7109375" customWidth="1"/>
    <col min="4" max="4" width="65" customWidth="1"/>
    <col min="5" max="5" width="45.5703125" customWidth="1"/>
    <col min="6" max="6" width="12.5703125" customWidth="1"/>
  </cols>
  <sheetData>
    <row r="1" spans="1:9" ht="15.75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</row>
    <row r="2" spans="1:9" ht="20.100000000000001" customHeight="1">
      <c r="A2" s="48" t="s">
        <v>8</v>
      </c>
      <c r="B2" s="48" t="s">
        <v>9</v>
      </c>
      <c r="C2" s="48" t="s">
        <v>10</v>
      </c>
      <c r="D2" s="48" t="s">
        <v>11</v>
      </c>
      <c r="E2" s="48" t="s">
        <v>12</v>
      </c>
      <c r="F2" s="50" t="s">
        <v>13</v>
      </c>
      <c r="G2" s="48" t="s">
        <v>14</v>
      </c>
      <c r="H2" s="48" t="s">
        <v>15</v>
      </c>
      <c r="I2" s="1"/>
    </row>
    <row r="3" spans="1:9" ht="20.100000000000001" customHeight="1">
      <c r="A3" s="48" t="s">
        <v>16</v>
      </c>
      <c r="B3" s="48" t="s">
        <v>17</v>
      </c>
      <c r="C3" s="48" t="s">
        <v>10</v>
      </c>
      <c r="D3" s="48" t="s">
        <v>18</v>
      </c>
      <c r="E3" s="48" t="s">
        <v>19</v>
      </c>
      <c r="F3" s="50" t="s">
        <v>13</v>
      </c>
      <c r="G3" s="48" t="s">
        <v>14</v>
      </c>
      <c r="H3" s="48" t="s">
        <v>15</v>
      </c>
      <c r="I3" s="1"/>
    </row>
    <row r="4" spans="1:9" ht="20.100000000000001" customHeight="1">
      <c r="A4" s="48" t="s">
        <v>20</v>
      </c>
      <c r="B4" s="48" t="s">
        <v>21</v>
      </c>
      <c r="C4" s="48" t="s">
        <v>10</v>
      </c>
      <c r="D4" s="48" t="s">
        <v>22</v>
      </c>
      <c r="E4" s="48" t="s">
        <v>23</v>
      </c>
      <c r="F4" s="50"/>
      <c r="G4" s="48" t="s">
        <v>14</v>
      </c>
      <c r="H4" s="48" t="s">
        <v>15</v>
      </c>
      <c r="I4" s="1"/>
    </row>
    <row r="5" spans="1:9" ht="20.100000000000001" customHeight="1">
      <c r="A5" s="48" t="s">
        <v>24</v>
      </c>
      <c r="B5" s="48" t="s">
        <v>25</v>
      </c>
      <c r="C5" s="48" t="s">
        <v>10</v>
      </c>
      <c r="D5" s="48" t="s">
        <v>26</v>
      </c>
      <c r="E5" s="48" t="s">
        <v>27</v>
      </c>
      <c r="F5" s="50" t="s">
        <v>13</v>
      </c>
      <c r="G5" s="48" t="s">
        <v>14</v>
      </c>
      <c r="H5" s="48" t="s">
        <v>15</v>
      </c>
      <c r="I5" s="1"/>
    </row>
    <row r="6" spans="1:9" ht="20.100000000000001" customHeight="1">
      <c r="A6" s="48" t="s">
        <v>28</v>
      </c>
      <c r="B6" s="48" t="s">
        <v>29</v>
      </c>
      <c r="C6" s="48" t="s">
        <v>10</v>
      </c>
      <c r="D6" s="48" t="s">
        <v>30</v>
      </c>
      <c r="E6" s="48" t="s">
        <v>31</v>
      </c>
      <c r="F6" s="50" t="s">
        <v>13</v>
      </c>
      <c r="G6" s="48" t="s">
        <v>14</v>
      </c>
      <c r="H6" s="48" t="s">
        <v>15</v>
      </c>
    </row>
    <row r="7" spans="1:9" ht="20.100000000000001" customHeight="1">
      <c r="A7" s="48" t="s">
        <v>32</v>
      </c>
      <c r="B7" s="48" t="s">
        <v>33</v>
      </c>
      <c r="C7" s="48" t="s">
        <v>10</v>
      </c>
      <c r="D7" s="48" t="s">
        <v>34</v>
      </c>
      <c r="E7" s="48" t="s">
        <v>35</v>
      </c>
      <c r="F7" s="50"/>
      <c r="G7" s="48" t="s">
        <v>14</v>
      </c>
      <c r="H7" s="48" t="s">
        <v>15</v>
      </c>
      <c r="I7" s="1"/>
    </row>
    <row r="8" spans="1:9" ht="20.100000000000001" customHeight="1">
      <c r="A8" s="48" t="s">
        <v>36</v>
      </c>
      <c r="B8" s="48" t="s">
        <v>37</v>
      </c>
      <c r="C8" s="48" t="s">
        <v>10</v>
      </c>
      <c r="D8" s="48" t="s">
        <v>38</v>
      </c>
      <c r="E8" s="48" t="s">
        <v>39</v>
      </c>
      <c r="F8" s="50" t="s">
        <v>13</v>
      </c>
      <c r="G8" s="48" t="s">
        <v>14</v>
      </c>
      <c r="H8" s="48" t="s">
        <v>15</v>
      </c>
    </row>
    <row r="9" spans="1:9" ht="20.100000000000001" customHeight="1">
      <c r="A9" s="48" t="s">
        <v>40</v>
      </c>
      <c r="B9" s="48" t="s">
        <v>41</v>
      </c>
      <c r="C9" s="48" t="s">
        <v>10</v>
      </c>
      <c r="D9" s="48" t="s">
        <v>42</v>
      </c>
      <c r="E9" s="48" t="s">
        <v>43</v>
      </c>
      <c r="F9" s="50" t="s">
        <v>13</v>
      </c>
      <c r="G9" s="48" t="s">
        <v>14</v>
      </c>
      <c r="H9" s="48" t="s">
        <v>15</v>
      </c>
      <c r="I9" s="1"/>
    </row>
    <row r="10" spans="1:9" ht="20.100000000000001" customHeight="1">
      <c r="A10" s="48" t="s">
        <v>44</v>
      </c>
      <c r="B10" s="51" t="s">
        <v>45</v>
      </c>
      <c r="C10" s="51" t="s">
        <v>10</v>
      </c>
      <c r="D10" s="51" t="s">
        <v>46</v>
      </c>
      <c r="E10" s="51" t="s">
        <v>47</v>
      </c>
      <c r="F10" s="52" t="s">
        <v>13</v>
      </c>
      <c r="G10" s="51" t="s">
        <v>14</v>
      </c>
      <c r="H10" s="48" t="s">
        <v>15</v>
      </c>
      <c r="I10" s="1"/>
    </row>
    <row r="11" spans="1:9" ht="20.100000000000001" customHeight="1">
      <c r="A11" s="48" t="s">
        <v>48</v>
      </c>
      <c r="B11" s="51" t="s">
        <v>49</v>
      </c>
      <c r="C11" s="48" t="s">
        <v>10</v>
      </c>
      <c r="D11" s="51" t="s">
        <v>50</v>
      </c>
      <c r="E11" s="51" t="s">
        <v>51</v>
      </c>
      <c r="F11" s="52"/>
      <c r="G11" s="51" t="s">
        <v>14</v>
      </c>
      <c r="H11" s="48" t="s">
        <v>52</v>
      </c>
      <c r="I11" s="1"/>
    </row>
    <row r="12" spans="1:9" ht="15.75" customHeight="1">
      <c r="A12" s="48" t="s">
        <v>53</v>
      </c>
      <c r="B12" s="49" t="s">
        <v>54</v>
      </c>
      <c r="C12" s="48" t="s">
        <v>10</v>
      </c>
      <c r="D12" s="48" t="s">
        <v>55</v>
      </c>
      <c r="E12" s="48" t="s">
        <v>56</v>
      </c>
      <c r="F12" s="50" t="s">
        <v>13</v>
      </c>
      <c r="G12" s="48" t="s">
        <v>14</v>
      </c>
      <c r="H12" s="48" t="s">
        <v>52</v>
      </c>
      <c r="I12" s="1"/>
    </row>
    <row r="13" spans="1:9" ht="15.75" customHeight="1">
      <c r="A13" s="48" t="s">
        <v>57</v>
      </c>
      <c r="B13" s="49" t="s">
        <v>58</v>
      </c>
      <c r="C13" s="48" t="s">
        <v>10</v>
      </c>
      <c r="D13" s="48" t="s">
        <v>59</v>
      </c>
      <c r="E13" s="48" t="s">
        <v>60</v>
      </c>
      <c r="F13" s="50"/>
      <c r="G13" s="48" t="s">
        <v>14</v>
      </c>
      <c r="H13" s="48" t="s">
        <v>52</v>
      </c>
    </row>
    <row r="14" spans="1:9" ht="15.75" customHeight="1">
      <c r="A14" s="48" t="s">
        <v>61</v>
      </c>
      <c r="B14" s="48" t="s">
        <v>62</v>
      </c>
      <c r="C14" s="48" t="s">
        <v>10</v>
      </c>
      <c r="D14" s="48" t="s">
        <v>63</v>
      </c>
      <c r="E14" s="48" t="s">
        <v>64</v>
      </c>
      <c r="F14" s="50" t="s">
        <v>13</v>
      </c>
      <c r="G14" s="48" t="s">
        <v>14</v>
      </c>
      <c r="H14" s="48" t="s">
        <v>52</v>
      </c>
    </row>
    <row r="15" spans="1:9" ht="15.75" customHeight="1">
      <c r="A15" s="48" t="s">
        <v>65</v>
      </c>
      <c r="B15" s="48" t="s">
        <v>66</v>
      </c>
      <c r="C15" s="48" t="s">
        <v>10</v>
      </c>
      <c r="D15" s="48" t="s">
        <v>67</v>
      </c>
      <c r="E15" s="48" t="s">
        <v>68</v>
      </c>
      <c r="F15" s="50" t="s">
        <v>13</v>
      </c>
      <c r="G15" s="48" t="s">
        <v>14</v>
      </c>
      <c r="H15" s="48" t="s">
        <v>52</v>
      </c>
    </row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5D33-6ECB-4CC2-A090-B89BF97B7A9B}">
  <sheetPr>
    <outlinePr summaryBelow="0" summaryRight="0"/>
  </sheetPr>
  <dimension ref="A1:I964"/>
  <sheetViews>
    <sheetView tabSelected="1" topLeftCell="A48" zoomScale="108" zoomScaleNormal="90" workbookViewId="0">
      <selection activeCell="J65" sqref="J65"/>
    </sheetView>
  </sheetViews>
  <sheetFormatPr defaultColWidth="12.5703125" defaultRowHeight="15" customHeight="1"/>
  <cols>
    <col min="1" max="1" width="12.5703125" style="2" customWidth="1"/>
    <col min="2" max="2" width="41.42578125" style="2" customWidth="1"/>
    <col min="3" max="3" width="69.42578125" style="2" customWidth="1"/>
    <col min="4" max="4" width="28.5703125" style="2" customWidth="1"/>
    <col min="5" max="5" width="52.140625" style="2" customWidth="1"/>
    <col min="6" max="6" width="56.140625" style="2" customWidth="1"/>
    <col min="7" max="7" width="29" style="2" bestFit="1" customWidth="1"/>
    <col min="8" max="16384" width="12.5703125" style="2"/>
  </cols>
  <sheetData>
    <row r="1" spans="1:9" ht="23.25" customHeight="1"/>
    <row r="2" spans="1:9" ht="32.25" customHeight="1">
      <c r="A2" s="18" t="s">
        <v>69</v>
      </c>
      <c r="B2" s="76" t="s">
        <v>70</v>
      </c>
      <c r="C2" s="77"/>
      <c r="D2" s="77"/>
      <c r="E2" s="77"/>
      <c r="F2" s="77"/>
      <c r="G2" s="77"/>
      <c r="H2" s="77"/>
      <c r="I2" s="78"/>
    </row>
    <row r="3" spans="1:9" ht="15.75" customHeight="1">
      <c r="B3" s="19" t="s">
        <v>0</v>
      </c>
      <c r="C3" s="19" t="s">
        <v>1</v>
      </c>
      <c r="D3" s="19" t="s">
        <v>2</v>
      </c>
      <c r="E3" s="19" t="s">
        <v>71</v>
      </c>
      <c r="F3" s="19" t="s">
        <v>72</v>
      </c>
      <c r="G3" s="19" t="s">
        <v>5</v>
      </c>
      <c r="H3" s="19" t="s">
        <v>73</v>
      </c>
      <c r="I3" s="19" t="s">
        <v>74</v>
      </c>
    </row>
    <row r="4" spans="1:9" ht="35.25" customHeight="1">
      <c r="B4" s="20" t="s">
        <v>8</v>
      </c>
      <c r="C4" s="20" t="s">
        <v>75</v>
      </c>
      <c r="D4" s="20" t="s">
        <v>76</v>
      </c>
      <c r="E4" s="21" t="s">
        <v>11</v>
      </c>
      <c r="F4" s="20" t="s">
        <v>77</v>
      </c>
      <c r="G4" s="20" t="s">
        <v>78</v>
      </c>
      <c r="H4" s="20" t="s">
        <v>14</v>
      </c>
      <c r="I4" s="20" t="s">
        <v>79</v>
      </c>
    </row>
    <row r="5" spans="1:9" ht="15.75" customHeight="1">
      <c r="B5" s="22"/>
      <c r="C5" s="23" t="s">
        <v>80</v>
      </c>
      <c r="D5" s="22"/>
      <c r="E5" s="22"/>
      <c r="F5" s="22"/>
      <c r="G5" s="23" t="s">
        <v>81</v>
      </c>
      <c r="H5" s="22"/>
      <c r="I5" s="23" t="s">
        <v>82</v>
      </c>
    </row>
    <row r="6" spans="1:9" ht="15.75" customHeight="1">
      <c r="B6" s="24" t="s">
        <v>83</v>
      </c>
      <c r="C6" s="85" t="s">
        <v>84</v>
      </c>
      <c r="D6" s="86"/>
      <c r="E6" s="86"/>
      <c r="F6" s="86"/>
      <c r="G6" s="22" t="s">
        <v>85</v>
      </c>
      <c r="H6" s="22"/>
      <c r="I6" s="25">
        <v>1</v>
      </c>
    </row>
    <row r="7" spans="1:9" ht="15.75" customHeight="1">
      <c r="B7" s="24" t="s">
        <v>86</v>
      </c>
      <c r="C7" s="85" t="s">
        <v>87</v>
      </c>
      <c r="D7" s="86"/>
      <c r="E7" s="86"/>
      <c r="F7" s="86"/>
      <c r="G7" s="22" t="s">
        <v>85</v>
      </c>
      <c r="H7" s="22"/>
      <c r="I7" s="25">
        <v>3</v>
      </c>
    </row>
    <row r="8" spans="1:9" ht="15.75" customHeight="1">
      <c r="B8" s="24" t="s">
        <v>88</v>
      </c>
      <c r="C8" s="85" t="s">
        <v>89</v>
      </c>
      <c r="D8" s="86"/>
      <c r="E8" s="86"/>
      <c r="F8" s="86"/>
      <c r="G8" s="22" t="s">
        <v>85</v>
      </c>
      <c r="H8" s="22"/>
      <c r="I8" s="25">
        <v>4</v>
      </c>
    </row>
    <row r="9" spans="1:9" ht="15.75" customHeight="1">
      <c r="B9" s="26" t="s">
        <v>90</v>
      </c>
      <c r="C9" s="75" t="s">
        <v>91</v>
      </c>
      <c r="D9" s="75"/>
      <c r="E9" s="75"/>
      <c r="F9" s="75"/>
      <c r="G9" s="22" t="s">
        <v>85</v>
      </c>
      <c r="H9" s="19"/>
      <c r="I9" s="25">
        <v>3</v>
      </c>
    </row>
    <row r="10" spans="1:9" ht="15.75" customHeight="1">
      <c r="B10" s="26" t="s">
        <v>92</v>
      </c>
      <c r="C10" s="75" t="s">
        <v>93</v>
      </c>
      <c r="D10" s="75"/>
      <c r="E10" s="75"/>
      <c r="F10" s="75"/>
      <c r="G10" s="22" t="s">
        <v>85</v>
      </c>
      <c r="H10" s="19"/>
      <c r="I10" s="25">
        <v>0.5</v>
      </c>
    </row>
    <row r="11" spans="1:9" ht="27" customHeight="1">
      <c r="B11" s="20" t="s">
        <v>16</v>
      </c>
      <c r="C11" s="20" t="s">
        <v>17</v>
      </c>
      <c r="D11" s="20" t="s">
        <v>76</v>
      </c>
      <c r="E11" s="21" t="s">
        <v>18</v>
      </c>
      <c r="F11" s="27" t="s">
        <v>19</v>
      </c>
      <c r="G11" s="20" t="s">
        <v>78</v>
      </c>
      <c r="H11" s="20" t="s">
        <v>14</v>
      </c>
      <c r="I11" s="20" t="s">
        <v>79</v>
      </c>
    </row>
    <row r="12" spans="1:9" ht="15.75" customHeight="1">
      <c r="B12" s="26"/>
      <c r="C12" s="23" t="s">
        <v>80</v>
      </c>
      <c r="D12" s="65"/>
      <c r="E12" s="65"/>
      <c r="F12" s="65"/>
      <c r="G12" s="23" t="s">
        <v>81</v>
      </c>
      <c r="H12" s="19"/>
      <c r="I12" s="25"/>
    </row>
    <row r="13" spans="1:9" ht="15.75" customHeight="1">
      <c r="B13" s="24" t="s">
        <v>94</v>
      </c>
      <c r="C13" s="85" t="s">
        <v>95</v>
      </c>
      <c r="D13" s="86"/>
      <c r="E13" s="86"/>
      <c r="F13" s="86"/>
      <c r="G13" s="22" t="s">
        <v>96</v>
      </c>
      <c r="H13" s="19"/>
      <c r="I13" s="25">
        <v>1.5</v>
      </c>
    </row>
    <row r="14" spans="1:9" ht="15.75" customHeight="1">
      <c r="B14" s="24" t="s">
        <v>97</v>
      </c>
      <c r="C14" s="85" t="s">
        <v>98</v>
      </c>
      <c r="D14" s="86"/>
      <c r="E14" s="86"/>
      <c r="F14" s="86"/>
      <c r="G14" s="22" t="s">
        <v>96</v>
      </c>
      <c r="H14" s="19"/>
      <c r="I14" s="25">
        <v>4</v>
      </c>
    </row>
    <row r="15" spans="1:9" ht="15" customHeight="1">
      <c r="B15" s="24" t="s">
        <v>99</v>
      </c>
      <c r="C15" s="85" t="s">
        <v>100</v>
      </c>
      <c r="D15" s="86"/>
      <c r="E15" s="86"/>
      <c r="F15" s="86"/>
      <c r="G15" s="22" t="s">
        <v>96</v>
      </c>
      <c r="H15" s="19"/>
      <c r="I15" s="25">
        <v>3</v>
      </c>
    </row>
    <row r="16" spans="1:9" ht="14.25" customHeight="1">
      <c r="B16" s="24" t="s">
        <v>101</v>
      </c>
      <c r="C16" s="85" t="s">
        <v>102</v>
      </c>
      <c r="D16" s="86"/>
      <c r="E16" s="86"/>
      <c r="F16" s="86"/>
      <c r="G16" s="22" t="s">
        <v>96</v>
      </c>
      <c r="H16" s="19"/>
      <c r="I16" s="25">
        <v>2.5</v>
      </c>
    </row>
    <row r="17" spans="2:9" ht="23.25" customHeight="1">
      <c r="B17" s="20" t="s">
        <v>20</v>
      </c>
      <c r="C17" s="20" t="s">
        <v>103</v>
      </c>
      <c r="D17" s="20" t="s">
        <v>76</v>
      </c>
      <c r="E17" s="21" t="s">
        <v>22</v>
      </c>
      <c r="F17" s="27" t="s">
        <v>23</v>
      </c>
      <c r="G17" s="20" t="s">
        <v>78</v>
      </c>
      <c r="H17" s="20" t="s">
        <v>14</v>
      </c>
      <c r="I17" s="20" t="s">
        <v>79</v>
      </c>
    </row>
    <row r="18" spans="2:9" ht="15.75" customHeight="1">
      <c r="B18" s="22"/>
      <c r="C18" s="23" t="s">
        <v>80</v>
      </c>
      <c r="D18" s="22"/>
      <c r="E18" s="22"/>
      <c r="F18" s="22"/>
      <c r="G18" s="23" t="s">
        <v>81</v>
      </c>
      <c r="H18" s="22"/>
      <c r="I18" s="23" t="s">
        <v>82</v>
      </c>
    </row>
    <row r="19" spans="2:9" ht="15.75" customHeight="1">
      <c r="B19" s="24" t="s">
        <v>104</v>
      </c>
      <c r="C19" s="85" t="s">
        <v>105</v>
      </c>
      <c r="D19" s="86"/>
      <c r="E19" s="86"/>
      <c r="F19" s="86"/>
      <c r="G19" s="22" t="s">
        <v>96</v>
      </c>
      <c r="H19" s="25"/>
      <c r="I19" s="25">
        <v>1.5</v>
      </c>
    </row>
    <row r="20" spans="2:9" ht="15.75" customHeight="1">
      <c r="B20" s="24" t="s">
        <v>106</v>
      </c>
      <c r="C20" s="85" t="s">
        <v>107</v>
      </c>
      <c r="D20" s="86"/>
      <c r="E20" s="86"/>
      <c r="F20" s="86"/>
      <c r="G20" s="22" t="s">
        <v>96</v>
      </c>
      <c r="H20" s="25"/>
      <c r="I20" s="25">
        <v>4</v>
      </c>
    </row>
    <row r="21" spans="2:9" ht="15.75" customHeight="1">
      <c r="B21" s="24" t="s">
        <v>108</v>
      </c>
      <c r="C21" s="85" t="s">
        <v>109</v>
      </c>
      <c r="D21" s="86"/>
      <c r="E21" s="86"/>
      <c r="F21" s="86"/>
      <c r="G21" s="22" t="s">
        <v>96</v>
      </c>
      <c r="H21" s="25"/>
      <c r="I21" s="25">
        <v>3</v>
      </c>
    </row>
    <row r="22" spans="2:9" ht="18" customHeight="1">
      <c r="B22" s="24" t="s">
        <v>110</v>
      </c>
      <c r="C22" s="85" t="s">
        <v>111</v>
      </c>
      <c r="D22" s="86"/>
      <c r="E22" s="86"/>
      <c r="F22" s="86"/>
      <c r="G22" s="22" t="s">
        <v>96</v>
      </c>
      <c r="H22" s="25"/>
      <c r="I22" s="25">
        <v>2.5</v>
      </c>
    </row>
    <row r="23" spans="2:9" ht="30" customHeight="1">
      <c r="B23" s="20" t="s">
        <v>20</v>
      </c>
      <c r="C23" s="20" t="s">
        <v>112</v>
      </c>
      <c r="D23" s="20" t="s">
        <v>76</v>
      </c>
      <c r="E23" s="21" t="s">
        <v>113</v>
      </c>
      <c r="F23" s="20" t="s">
        <v>114</v>
      </c>
      <c r="G23" s="20" t="s">
        <v>78</v>
      </c>
      <c r="H23" s="20" t="s">
        <v>14</v>
      </c>
      <c r="I23" s="20" t="s">
        <v>79</v>
      </c>
    </row>
    <row r="24" spans="2:9" ht="15.75" customHeight="1">
      <c r="B24" s="25"/>
      <c r="C24" s="28" t="s">
        <v>80</v>
      </c>
      <c r="D24" s="25"/>
      <c r="E24" s="25"/>
      <c r="F24" s="25"/>
      <c r="G24" s="23" t="s">
        <v>81</v>
      </c>
      <c r="H24" s="25"/>
      <c r="I24" s="23" t="s">
        <v>82</v>
      </c>
    </row>
    <row r="25" spans="2:9" ht="15.75" customHeight="1">
      <c r="B25" s="24" t="s">
        <v>104</v>
      </c>
      <c r="C25" s="85" t="s">
        <v>115</v>
      </c>
      <c r="D25" s="86"/>
      <c r="E25" s="86"/>
      <c r="F25" s="86"/>
      <c r="G25" s="22" t="s">
        <v>116</v>
      </c>
      <c r="H25" s="25"/>
      <c r="I25" s="25">
        <v>3.5</v>
      </c>
    </row>
    <row r="26" spans="2:9" ht="15.75" customHeight="1">
      <c r="B26" s="24" t="s">
        <v>106</v>
      </c>
      <c r="C26" s="85" t="s">
        <v>117</v>
      </c>
      <c r="D26" s="86"/>
      <c r="E26" s="86"/>
      <c r="F26" s="86"/>
      <c r="G26" s="22" t="s">
        <v>116</v>
      </c>
      <c r="H26" s="25"/>
      <c r="I26" s="25">
        <v>2</v>
      </c>
    </row>
    <row r="27" spans="2:9" ht="15.75" customHeight="1">
      <c r="B27" s="24" t="s">
        <v>108</v>
      </c>
      <c r="C27" s="85" t="s">
        <v>118</v>
      </c>
      <c r="D27" s="86"/>
      <c r="E27" s="86"/>
      <c r="F27" s="86"/>
      <c r="G27" s="22" t="s">
        <v>116</v>
      </c>
      <c r="H27" s="25"/>
      <c r="I27" s="25">
        <v>2</v>
      </c>
    </row>
    <row r="28" spans="2:9" ht="14.25" customHeight="1">
      <c r="B28" s="24" t="s">
        <v>110</v>
      </c>
      <c r="C28" s="85" t="s">
        <v>119</v>
      </c>
      <c r="D28" s="86"/>
      <c r="E28" s="86"/>
      <c r="F28" s="86"/>
      <c r="G28" s="22" t="s">
        <v>116</v>
      </c>
      <c r="H28" s="25"/>
      <c r="I28" s="25">
        <v>1.5</v>
      </c>
    </row>
    <row r="29" spans="2:9" ht="15.75" customHeight="1">
      <c r="B29" s="20" t="s">
        <v>24</v>
      </c>
      <c r="C29" s="20" t="s">
        <v>120</v>
      </c>
      <c r="D29" s="20" t="s">
        <v>76</v>
      </c>
      <c r="E29" s="21" t="s">
        <v>30</v>
      </c>
      <c r="F29" s="27" t="s">
        <v>31</v>
      </c>
      <c r="G29" s="20" t="s">
        <v>78</v>
      </c>
      <c r="H29" s="20" t="s">
        <v>14</v>
      </c>
      <c r="I29" s="20" t="s">
        <v>79</v>
      </c>
    </row>
    <row r="30" spans="2:9" ht="15.75" customHeight="1">
      <c r="B30" s="25"/>
      <c r="C30" s="25" t="s">
        <v>80</v>
      </c>
      <c r="D30" s="25"/>
      <c r="E30" s="25"/>
      <c r="F30" s="25"/>
      <c r="G30" s="23" t="s">
        <v>81</v>
      </c>
      <c r="H30" s="25"/>
      <c r="I30" s="23" t="s">
        <v>82</v>
      </c>
    </row>
    <row r="31" spans="2:9" ht="15.75" customHeight="1">
      <c r="B31" s="24" t="s">
        <v>121</v>
      </c>
      <c r="C31" s="85" t="s">
        <v>122</v>
      </c>
      <c r="D31" s="86"/>
      <c r="E31" s="86"/>
      <c r="F31" s="86"/>
      <c r="G31" s="22" t="s">
        <v>116</v>
      </c>
      <c r="H31" s="25"/>
      <c r="I31" s="25">
        <v>1</v>
      </c>
    </row>
    <row r="32" spans="2:9" ht="15.75" customHeight="1">
      <c r="B32" s="24" t="s">
        <v>123</v>
      </c>
      <c r="C32" s="85" t="s">
        <v>124</v>
      </c>
      <c r="D32" s="86"/>
      <c r="E32" s="86"/>
      <c r="F32" s="86"/>
      <c r="G32" s="22" t="s">
        <v>116</v>
      </c>
      <c r="H32" s="25"/>
      <c r="I32" s="25">
        <v>1.5</v>
      </c>
    </row>
    <row r="33" spans="1:9" ht="20.25" customHeight="1">
      <c r="B33" s="24" t="s">
        <v>125</v>
      </c>
      <c r="C33" s="85" t="s">
        <v>126</v>
      </c>
      <c r="D33" s="86"/>
      <c r="E33" s="86"/>
      <c r="F33" s="86"/>
      <c r="G33" s="22" t="s">
        <v>116</v>
      </c>
      <c r="H33" s="25"/>
      <c r="I33" s="25">
        <v>1</v>
      </c>
    </row>
    <row r="34" spans="1:9" ht="18.75" customHeight="1">
      <c r="B34" s="29" t="s">
        <v>127</v>
      </c>
      <c r="C34" s="85" t="s">
        <v>128</v>
      </c>
      <c r="D34" s="86"/>
      <c r="E34" s="86"/>
      <c r="F34" s="86"/>
      <c r="G34" s="31" t="s">
        <v>116</v>
      </c>
      <c r="H34" s="30"/>
      <c r="I34" s="30">
        <v>2</v>
      </c>
    </row>
    <row r="35" spans="1:9" ht="18" customHeight="1">
      <c r="A35" s="32" t="s">
        <v>129</v>
      </c>
      <c r="B35" s="79" t="s">
        <v>130</v>
      </c>
      <c r="C35" s="79"/>
      <c r="D35" s="79"/>
      <c r="E35" s="79"/>
      <c r="F35" s="79"/>
      <c r="G35" s="79"/>
      <c r="H35" s="79"/>
      <c r="I35" s="79"/>
    </row>
    <row r="36" spans="1:9" ht="33.75" customHeight="1">
      <c r="B36" s="33" t="s">
        <v>32</v>
      </c>
      <c r="C36" s="33" t="s">
        <v>33</v>
      </c>
      <c r="D36" s="33" t="s">
        <v>76</v>
      </c>
      <c r="E36" s="34" t="s">
        <v>34</v>
      </c>
      <c r="F36" s="35" t="s">
        <v>35</v>
      </c>
      <c r="G36" s="33" t="s">
        <v>78</v>
      </c>
      <c r="H36" s="33" t="s">
        <v>14</v>
      </c>
      <c r="I36" s="20" t="s">
        <v>79</v>
      </c>
    </row>
    <row r="37" spans="1:9" ht="24" customHeight="1">
      <c r="B37" s="36"/>
      <c r="C37" s="36" t="s">
        <v>131</v>
      </c>
      <c r="D37" s="36"/>
      <c r="E37" s="36"/>
      <c r="F37" s="36"/>
      <c r="G37" s="23" t="s">
        <v>81</v>
      </c>
      <c r="H37" s="36"/>
      <c r="I37" s="36"/>
    </row>
    <row r="38" spans="1:9" ht="15.75" customHeight="1">
      <c r="B38" s="37" t="s">
        <v>132</v>
      </c>
      <c r="C38" s="85" t="s">
        <v>133</v>
      </c>
      <c r="D38" s="86"/>
      <c r="E38" s="86"/>
      <c r="F38" s="86"/>
      <c r="G38" s="36" t="s">
        <v>85</v>
      </c>
      <c r="H38" s="36"/>
      <c r="I38" s="36">
        <v>1</v>
      </c>
    </row>
    <row r="39" spans="1:9" ht="15.75" customHeight="1">
      <c r="B39" s="37" t="s">
        <v>134</v>
      </c>
      <c r="C39" s="85" t="s">
        <v>135</v>
      </c>
      <c r="D39" s="86"/>
      <c r="E39" s="86"/>
      <c r="F39" s="86"/>
      <c r="G39" s="36" t="s">
        <v>85</v>
      </c>
      <c r="H39" s="36"/>
      <c r="I39" s="36">
        <v>2</v>
      </c>
    </row>
    <row r="40" spans="1:9" ht="15.6" customHeight="1">
      <c r="B40" s="37" t="s">
        <v>136</v>
      </c>
      <c r="C40" s="85" t="s">
        <v>137</v>
      </c>
      <c r="D40" s="86"/>
      <c r="E40" s="86"/>
      <c r="F40" s="86"/>
      <c r="G40" s="36" t="s">
        <v>85</v>
      </c>
      <c r="H40" s="36"/>
      <c r="I40" s="36">
        <v>2</v>
      </c>
    </row>
    <row r="41" spans="1:9" ht="15.75" customHeight="1">
      <c r="B41" s="38" t="s">
        <v>36</v>
      </c>
      <c r="C41" s="38" t="s">
        <v>37</v>
      </c>
      <c r="D41" s="38" t="s">
        <v>76</v>
      </c>
      <c r="E41" s="39" t="s">
        <v>38</v>
      </c>
      <c r="F41" s="40" t="s">
        <v>39</v>
      </c>
      <c r="G41" s="38" t="s">
        <v>78</v>
      </c>
      <c r="H41" s="38" t="s">
        <v>14</v>
      </c>
      <c r="I41" s="20" t="s">
        <v>79</v>
      </c>
    </row>
    <row r="42" spans="1:9" ht="26.45" customHeight="1">
      <c r="B42" s="36"/>
      <c r="C42" s="43" t="s">
        <v>131</v>
      </c>
      <c r="D42" s="36"/>
      <c r="E42" s="36"/>
      <c r="F42" s="36"/>
      <c r="G42" s="23" t="s">
        <v>81</v>
      </c>
      <c r="H42" s="36"/>
      <c r="I42" s="36"/>
    </row>
    <row r="43" spans="1:9" ht="19.5" customHeight="1">
      <c r="B43" s="37" t="s">
        <v>138</v>
      </c>
      <c r="C43" s="85" t="s">
        <v>139</v>
      </c>
      <c r="D43" s="86"/>
      <c r="E43" s="86"/>
      <c r="F43" s="86"/>
      <c r="G43" s="42" t="s">
        <v>116</v>
      </c>
      <c r="H43" s="36"/>
      <c r="I43" s="36">
        <v>1</v>
      </c>
    </row>
    <row r="44" spans="1:9" ht="19.5" customHeight="1">
      <c r="B44" s="37" t="s">
        <v>140</v>
      </c>
      <c r="C44" s="85" t="s">
        <v>141</v>
      </c>
      <c r="D44" s="86"/>
      <c r="E44" s="86"/>
      <c r="F44" s="86"/>
      <c r="G44" s="42" t="s">
        <v>116</v>
      </c>
      <c r="H44" s="36"/>
      <c r="I44" s="36">
        <v>2</v>
      </c>
    </row>
    <row r="45" spans="1:9" ht="18" customHeight="1">
      <c r="B45" s="37" t="s">
        <v>142</v>
      </c>
      <c r="C45" s="85" t="s">
        <v>143</v>
      </c>
      <c r="D45" s="86"/>
      <c r="E45" s="86"/>
      <c r="F45" s="86"/>
      <c r="G45" s="42" t="s">
        <v>116</v>
      </c>
      <c r="H45" s="36"/>
      <c r="I45" s="36">
        <v>1</v>
      </c>
    </row>
    <row r="46" spans="1:9" ht="23.25" customHeight="1">
      <c r="B46" s="37" t="s">
        <v>144</v>
      </c>
      <c r="C46" s="85" t="s">
        <v>145</v>
      </c>
      <c r="D46" s="86"/>
      <c r="E46" s="86"/>
      <c r="F46" s="86"/>
      <c r="G46" s="42" t="s">
        <v>116</v>
      </c>
      <c r="H46" s="36"/>
      <c r="I46" s="36">
        <v>1</v>
      </c>
    </row>
    <row r="47" spans="1:9" ht="30" customHeight="1">
      <c r="B47" s="38" t="s">
        <v>40</v>
      </c>
      <c r="C47" s="38" t="s">
        <v>41</v>
      </c>
      <c r="D47" s="38" t="s">
        <v>76</v>
      </c>
      <c r="E47" s="39" t="s">
        <v>42</v>
      </c>
      <c r="F47" s="40" t="s">
        <v>43</v>
      </c>
      <c r="G47" s="38" t="s">
        <v>78</v>
      </c>
      <c r="H47" s="38" t="s">
        <v>14</v>
      </c>
      <c r="I47" s="20" t="s">
        <v>79</v>
      </c>
    </row>
    <row r="48" spans="1:9" ht="16.899999999999999" customHeight="1">
      <c r="B48" s="36"/>
      <c r="C48" s="41" t="s">
        <v>80</v>
      </c>
      <c r="D48" s="36"/>
      <c r="E48" s="36"/>
      <c r="F48" s="36"/>
      <c r="G48" s="41" t="s">
        <v>81</v>
      </c>
      <c r="H48" s="36"/>
      <c r="I48" s="41" t="s">
        <v>82</v>
      </c>
    </row>
    <row r="49" spans="2:9" ht="15.75" customHeight="1">
      <c r="B49" s="44" t="s">
        <v>146</v>
      </c>
      <c r="C49" s="85" t="s">
        <v>147</v>
      </c>
      <c r="D49" s="86"/>
      <c r="E49" s="86"/>
      <c r="F49" s="86"/>
      <c r="G49" s="42" t="s">
        <v>96</v>
      </c>
      <c r="H49" s="36"/>
      <c r="I49" s="36">
        <v>3</v>
      </c>
    </row>
    <row r="50" spans="2:9" ht="15.75" customHeight="1">
      <c r="B50" s="44" t="s">
        <v>148</v>
      </c>
      <c r="C50" s="85" t="s">
        <v>149</v>
      </c>
      <c r="D50" s="86"/>
      <c r="E50" s="86"/>
      <c r="F50" s="86"/>
      <c r="G50" s="42" t="s">
        <v>96</v>
      </c>
      <c r="H50" s="36"/>
      <c r="I50" s="36">
        <v>4</v>
      </c>
    </row>
    <row r="51" spans="2:9" ht="22.9" customHeight="1">
      <c r="B51" s="44" t="s">
        <v>150</v>
      </c>
      <c r="C51" s="85" t="s">
        <v>151</v>
      </c>
      <c r="D51" s="86"/>
      <c r="E51" s="86"/>
      <c r="F51" s="86"/>
      <c r="G51" s="42" t="s">
        <v>96</v>
      </c>
      <c r="H51" s="36"/>
      <c r="I51" s="36">
        <v>1.5</v>
      </c>
    </row>
    <row r="52" spans="2:9" ht="23.1" customHeight="1">
      <c r="B52" s="44" t="s">
        <v>152</v>
      </c>
      <c r="C52" s="85" t="s">
        <v>153</v>
      </c>
      <c r="D52" s="86"/>
      <c r="E52" s="86"/>
      <c r="F52" s="86"/>
      <c r="G52" s="42" t="s">
        <v>96</v>
      </c>
      <c r="H52" s="36"/>
      <c r="I52" s="36">
        <v>2.5</v>
      </c>
    </row>
    <row r="53" spans="2:9" ht="15.75" hidden="1" customHeight="1">
      <c r="B53" s="44"/>
      <c r="C53" s="45"/>
      <c r="D53" s="46"/>
      <c r="E53" s="46"/>
      <c r="F53" s="46"/>
      <c r="G53" s="42"/>
      <c r="H53" s="36"/>
      <c r="I53" s="36"/>
    </row>
    <row r="54" spans="2:9" ht="15.75" hidden="1" customHeight="1">
      <c r="B54" s="44"/>
      <c r="C54" s="45"/>
      <c r="D54" s="46"/>
      <c r="E54" s="46"/>
      <c r="F54" s="46"/>
      <c r="G54" s="42"/>
      <c r="H54" s="36"/>
      <c r="I54" s="36"/>
    </row>
    <row r="55" spans="2:9" ht="15.75" hidden="1" customHeight="1">
      <c r="B55" s="44"/>
      <c r="C55" s="45"/>
      <c r="D55" s="46"/>
      <c r="E55" s="46"/>
      <c r="F55" s="46"/>
      <c r="G55" s="42"/>
      <c r="H55" s="36"/>
      <c r="I55" s="36"/>
    </row>
    <row r="56" spans="2:9" ht="26.1" hidden="1" customHeight="1">
      <c r="B56" s="44"/>
      <c r="C56" s="45"/>
      <c r="D56" s="46"/>
      <c r="E56" s="46"/>
      <c r="F56" s="46"/>
      <c r="G56" s="42"/>
      <c r="H56" s="36"/>
      <c r="I56" s="36"/>
    </row>
    <row r="57" spans="2:9" ht="16.5" hidden="1" customHeight="1">
      <c r="B57" s="44"/>
      <c r="C57" s="45"/>
      <c r="D57" s="46"/>
      <c r="E57" s="46"/>
      <c r="F57" s="46"/>
      <c r="G57" s="42"/>
      <c r="H57" s="36"/>
      <c r="I57" s="36"/>
    </row>
    <row r="58" spans="2:9" ht="16.5" hidden="1" customHeight="1">
      <c r="B58" s="44"/>
      <c r="C58" s="45"/>
      <c r="D58" s="46"/>
      <c r="E58" s="46"/>
      <c r="F58" s="46"/>
      <c r="G58" s="42"/>
      <c r="H58" s="36"/>
      <c r="I58" s="36"/>
    </row>
    <row r="59" spans="2:9" ht="12.6" customHeight="1">
      <c r="B59" s="44" t="s">
        <v>154</v>
      </c>
      <c r="C59" s="45" t="s">
        <v>155</v>
      </c>
      <c r="D59" s="46"/>
      <c r="E59" s="46"/>
      <c r="F59" s="46"/>
      <c r="G59" s="42" t="s">
        <v>96</v>
      </c>
      <c r="H59" s="36"/>
      <c r="I59" s="36">
        <v>0.5</v>
      </c>
    </row>
    <row r="60" spans="2:9" ht="24.75" customHeight="1">
      <c r="B60" s="38" t="s">
        <v>44</v>
      </c>
      <c r="C60" s="58" t="s">
        <v>45</v>
      </c>
      <c r="D60" s="58" t="s">
        <v>76</v>
      </c>
      <c r="E60" s="59" t="s">
        <v>46</v>
      </c>
      <c r="F60" s="60" t="s">
        <v>47</v>
      </c>
      <c r="G60" s="58" t="s">
        <v>78</v>
      </c>
      <c r="H60" s="58" t="s">
        <v>14</v>
      </c>
      <c r="I60" s="58" t="s">
        <v>156</v>
      </c>
    </row>
    <row r="61" spans="2:9" ht="15.75" customHeight="1">
      <c r="B61" s="42"/>
      <c r="C61" s="41" t="s">
        <v>80</v>
      </c>
      <c r="D61" s="61"/>
      <c r="E61" s="61"/>
      <c r="F61" s="61"/>
      <c r="G61" s="62" t="s">
        <v>81</v>
      </c>
      <c r="H61" s="61"/>
      <c r="I61" s="62" t="s">
        <v>82</v>
      </c>
    </row>
    <row r="62" spans="2:9" ht="15.75" customHeight="1">
      <c r="B62" s="37" t="s">
        <v>157</v>
      </c>
      <c r="C62" s="85" t="s">
        <v>158</v>
      </c>
      <c r="D62" s="86"/>
      <c r="E62" s="86"/>
      <c r="F62" s="86"/>
      <c r="G62" s="63" t="s">
        <v>159</v>
      </c>
      <c r="H62" s="61"/>
      <c r="I62" s="61">
        <v>2</v>
      </c>
    </row>
    <row r="63" spans="2:9" ht="15.75" customHeight="1">
      <c r="B63" s="37" t="s">
        <v>160</v>
      </c>
      <c r="C63" s="85" t="s">
        <v>161</v>
      </c>
      <c r="D63" s="86"/>
      <c r="E63" s="86"/>
      <c r="F63" s="86"/>
      <c r="G63" s="63" t="s">
        <v>159</v>
      </c>
      <c r="H63" s="61"/>
      <c r="I63" s="61">
        <v>2</v>
      </c>
    </row>
    <row r="64" spans="2:9" ht="15.75" customHeight="1">
      <c r="B64" s="37" t="s">
        <v>162</v>
      </c>
      <c r="C64" s="85" t="s">
        <v>163</v>
      </c>
      <c r="D64" s="86"/>
      <c r="E64" s="86"/>
      <c r="F64" s="86"/>
      <c r="G64" s="63" t="s">
        <v>159</v>
      </c>
      <c r="H64" s="61"/>
      <c r="I64" s="61">
        <v>3</v>
      </c>
    </row>
    <row r="65" spans="1:9" ht="15.75" customHeight="1">
      <c r="A65" s="32" t="s">
        <v>164</v>
      </c>
      <c r="B65" s="79" t="s">
        <v>165</v>
      </c>
      <c r="C65" s="79"/>
      <c r="D65" s="79"/>
      <c r="E65" s="79"/>
      <c r="F65" s="79"/>
      <c r="G65" s="79"/>
      <c r="H65" s="79"/>
      <c r="I65" s="79"/>
    </row>
    <row r="66" spans="1:9" ht="30.75" customHeight="1">
      <c r="B66" s="38" t="s">
        <v>48</v>
      </c>
      <c r="C66" s="66" t="s">
        <v>49</v>
      </c>
      <c r="D66" s="38" t="s">
        <v>76</v>
      </c>
      <c r="E66" s="39" t="s">
        <v>50</v>
      </c>
      <c r="F66" s="40" t="s">
        <v>51</v>
      </c>
      <c r="G66" s="38" t="s">
        <v>78</v>
      </c>
      <c r="H66" s="38" t="s">
        <v>14</v>
      </c>
      <c r="I66" s="38" t="s">
        <v>156</v>
      </c>
    </row>
    <row r="67" spans="1:9" ht="15.75" customHeight="1">
      <c r="B67" s="36"/>
      <c r="C67" s="41" t="s">
        <v>80</v>
      </c>
      <c r="D67" s="36"/>
      <c r="E67" s="36"/>
      <c r="F67" s="36"/>
      <c r="G67" s="62" t="s">
        <v>81</v>
      </c>
      <c r="H67" s="36"/>
      <c r="I67" s="36"/>
    </row>
    <row r="68" spans="1:9" ht="15.75" customHeight="1">
      <c r="B68" s="44" t="s">
        <v>166</v>
      </c>
      <c r="C68" s="36"/>
      <c r="D68" s="36"/>
      <c r="E68" s="36"/>
      <c r="F68" s="36"/>
      <c r="G68" s="42" t="s">
        <v>96</v>
      </c>
      <c r="H68" s="36"/>
      <c r="I68" s="36">
        <v>0</v>
      </c>
    </row>
    <row r="69" spans="1:9" ht="15.75" customHeight="1">
      <c r="B69" s="44" t="s">
        <v>167</v>
      </c>
      <c r="C69" s="36"/>
      <c r="D69" s="36"/>
      <c r="E69" s="36"/>
      <c r="F69" s="36"/>
      <c r="G69" s="42" t="s">
        <v>96</v>
      </c>
      <c r="H69" s="36"/>
      <c r="I69" s="67">
        <v>0</v>
      </c>
    </row>
    <row r="70" spans="1:9" ht="15.75" customHeight="1">
      <c r="B70" s="44" t="s">
        <v>168</v>
      </c>
      <c r="C70" s="36"/>
      <c r="D70" s="36"/>
      <c r="E70" s="36"/>
      <c r="F70" s="36"/>
      <c r="G70" s="42" t="s">
        <v>96</v>
      </c>
      <c r="H70" s="36"/>
      <c r="I70" s="36">
        <v>0</v>
      </c>
    </row>
    <row r="71" spans="1:9" ht="15.75" customHeight="1">
      <c r="B71" s="44" t="s">
        <v>169</v>
      </c>
      <c r="C71" s="36"/>
      <c r="D71" s="36"/>
      <c r="E71" s="36"/>
      <c r="F71" s="36"/>
      <c r="G71" s="36"/>
      <c r="H71" s="36"/>
      <c r="I71" s="36">
        <v>0</v>
      </c>
    </row>
    <row r="72" spans="1:9" ht="15.75" customHeight="1">
      <c r="B72" s="44" t="s">
        <v>170</v>
      </c>
      <c r="C72" s="36"/>
      <c r="D72" s="36"/>
      <c r="E72" s="36"/>
      <c r="F72" s="36"/>
      <c r="G72" s="36"/>
      <c r="H72" s="36"/>
      <c r="I72" s="36">
        <v>0</v>
      </c>
    </row>
    <row r="73" spans="1:9" ht="24.75" customHeight="1">
      <c r="B73" s="38" t="s">
        <v>53</v>
      </c>
      <c r="C73" s="38" t="s">
        <v>171</v>
      </c>
      <c r="D73" s="38" t="s">
        <v>76</v>
      </c>
      <c r="E73" s="39" t="s">
        <v>55</v>
      </c>
      <c r="F73" s="40" t="s">
        <v>56</v>
      </c>
      <c r="G73" s="38" t="s">
        <v>78</v>
      </c>
      <c r="H73" s="38" t="s">
        <v>14</v>
      </c>
      <c r="I73" s="38" t="s">
        <v>156</v>
      </c>
    </row>
    <row r="74" spans="1:9" ht="15.75" customHeight="1">
      <c r="B74" s="36"/>
      <c r="C74" s="41" t="s">
        <v>80</v>
      </c>
      <c r="D74" s="36"/>
      <c r="E74" s="36"/>
      <c r="F74" s="36"/>
      <c r="G74" s="41" t="s">
        <v>81</v>
      </c>
      <c r="H74" s="36"/>
      <c r="I74" s="36"/>
    </row>
    <row r="75" spans="1:9" ht="15.75" customHeight="1">
      <c r="B75" s="37" t="s">
        <v>172</v>
      </c>
      <c r="C75" s="67"/>
      <c r="D75" s="36"/>
      <c r="E75" s="36"/>
      <c r="F75" s="36"/>
      <c r="G75" s="63" t="s">
        <v>159</v>
      </c>
      <c r="H75" s="36"/>
      <c r="I75" s="36">
        <v>0</v>
      </c>
    </row>
    <row r="76" spans="1:9" ht="15.75" customHeight="1">
      <c r="B76" s="37" t="s">
        <v>173</v>
      </c>
      <c r="C76" s="67"/>
      <c r="D76" s="36"/>
      <c r="E76" s="36"/>
      <c r="F76" s="36"/>
      <c r="G76" s="63" t="s">
        <v>159</v>
      </c>
      <c r="H76" s="36"/>
      <c r="I76" s="36">
        <v>0</v>
      </c>
    </row>
    <row r="77" spans="1:9" ht="15.75" customHeight="1">
      <c r="B77" s="37" t="s">
        <v>174</v>
      </c>
      <c r="C77" s="67"/>
      <c r="D77" s="36"/>
      <c r="E77" s="36"/>
      <c r="F77" s="36"/>
      <c r="G77" s="63" t="s">
        <v>159</v>
      </c>
      <c r="H77" s="36"/>
      <c r="I77" s="36">
        <v>0</v>
      </c>
    </row>
    <row r="78" spans="1:9" ht="15.75" customHeight="1">
      <c r="B78" s="37" t="s">
        <v>175</v>
      </c>
      <c r="C78" s="67"/>
      <c r="D78" s="36"/>
      <c r="E78" s="36"/>
      <c r="F78" s="36"/>
      <c r="G78" s="63" t="s">
        <v>159</v>
      </c>
      <c r="H78" s="36"/>
      <c r="I78" s="36">
        <v>0</v>
      </c>
    </row>
    <row r="79" spans="1:9" ht="15.75" customHeight="1">
      <c r="B79" s="38" t="s">
        <v>57</v>
      </c>
      <c r="C79" s="38" t="s">
        <v>176</v>
      </c>
      <c r="D79" s="38" t="s">
        <v>76</v>
      </c>
      <c r="E79" s="39" t="s">
        <v>59</v>
      </c>
      <c r="F79" s="40" t="s">
        <v>60</v>
      </c>
      <c r="G79" s="38" t="s">
        <v>78</v>
      </c>
      <c r="H79" s="38" t="s">
        <v>14</v>
      </c>
      <c r="I79" s="38" t="s">
        <v>156</v>
      </c>
    </row>
    <row r="80" spans="1:9" ht="15.75" customHeight="1">
      <c r="B80" s="36"/>
      <c r="C80" s="41" t="s">
        <v>80</v>
      </c>
      <c r="D80" s="36"/>
      <c r="E80" s="36"/>
      <c r="F80" s="36"/>
      <c r="G80" s="41" t="s">
        <v>81</v>
      </c>
      <c r="H80" s="36"/>
      <c r="I80" s="36"/>
    </row>
    <row r="81" spans="1:9" ht="15.75" customHeight="1">
      <c r="B81" s="37" t="s">
        <v>177</v>
      </c>
      <c r="C81" s="67"/>
      <c r="D81" s="36"/>
      <c r="E81" s="36"/>
      <c r="F81" s="36"/>
      <c r="G81" s="36" t="s">
        <v>85</v>
      </c>
      <c r="H81" s="36"/>
      <c r="I81" s="36">
        <v>0</v>
      </c>
    </row>
    <row r="82" spans="1:9" ht="15.75" customHeight="1">
      <c r="B82" s="37" t="s">
        <v>178</v>
      </c>
      <c r="C82" s="67"/>
      <c r="D82" s="36"/>
      <c r="E82" s="36"/>
      <c r="F82" s="36"/>
      <c r="G82" s="36" t="s">
        <v>85</v>
      </c>
      <c r="H82" s="36"/>
      <c r="I82" s="36">
        <v>0</v>
      </c>
    </row>
    <row r="83" spans="1:9" ht="15.75" customHeight="1">
      <c r="B83" s="37" t="s">
        <v>179</v>
      </c>
      <c r="C83" s="67"/>
      <c r="D83" s="36"/>
      <c r="E83" s="36"/>
      <c r="F83" s="36"/>
      <c r="G83" s="36" t="s">
        <v>85</v>
      </c>
      <c r="H83" s="36"/>
      <c r="I83" s="36">
        <v>0</v>
      </c>
    </row>
    <row r="84" spans="1:9" ht="15.75" customHeight="1">
      <c r="B84" s="37" t="s">
        <v>180</v>
      </c>
      <c r="C84" s="67"/>
      <c r="D84" s="36"/>
      <c r="E84" s="36"/>
      <c r="F84" s="36"/>
      <c r="G84" s="36" t="s">
        <v>85</v>
      </c>
      <c r="H84" s="36"/>
      <c r="I84" s="36">
        <v>0</v>
      </c>
    </row>
    <row r="85" spans="1:9" ht="15.75" customHeight="1">
      <c r="A85" s="68" t="s">
        <v>181</v>
      </c>
      <c r="B85" s="79" t="s">
        <v>182</v>
      </c>
      <c r="C85" s="79"/>
      <c r="D85" s="79"/>
      <c r="E85" s="79"/>
      <c r="F85" s="79"/>
      <c r="G85" s="79"/>
      <c r="H85" s="79"/>
      <c r="I85" s="79"/>
    </row>
    <row r="86" spans="1:9" ht="35.25" customHeight="1">
      <c r="B86" s="38" t="s">
        <v>61</v>
      </c>
      <c r="C86" s="38" t="s">
        <v>183</v>
      </c>
      <c r="D86" s="38" t="s">
        <v>76</v>
      </c>
      <c r="E86" s="39" t="s">
        <v>63</v>
      </c>
      <c r="F86" s="40" t="s">
        <v>64</v>
      </c>
      <c r="G86" s="38" t="s">
        <v>78</v>
      </c>
      <c r="H86" s="38" t="s">
        <v>14</v>
      </c>
      <c r="I86" s="38" t="s">
        <v>156</v>
      </c>
    </row>
    <row r="87" spans="1:9" ht="15.75" customHeight="1">
      <c r="B87" s="36"/>
      <c r="C87" s="41" t="s">
        <v>80</v>
      </c>
      <c r="D87" s="36"/>
      <c r="E87" s="36"/>
      <c r="F87" s="36"/>
      <c r="G87" s="41" t="s">
        <v>81</v>
      </c>
      <c r="H87" s="36"/>
      <c r="I87" s="36"/>
    </row>
    <row r="88" spans="1:9" ht="15.75" customHeight="1">
      <c r="B88" s="37" t="s">
        <v>184</v>
      </c>
      <c r="C88" s="67"/>
      <c r="D88" s="36"/>
      <c r="E88" s="36"/>
      <c r="F88" s="36"/>
      <c r="G88" s="63" t="s">
        <v>159</v>
      </c>
      <c r="H88" s="36"/>
      <c r="I88" s="36">
        <v>0</v>
      </c>
    </row>
    <row r="89" spans="1:9" ht="15.75" customHeight="1">
      <c r="B89" s="37" t="s">
        <v>185</v>
      </c>
      <c r="C89" s="67"/>
      <c r="D89" s="36"/>
      <c r="E89" s="36"/>
      <c r="F89" s="36"/>
      <c r="G89" s="63" t="s">
        <v>159</v>
      </c>
      <c r="H89" s="36"/>
      <c r="I89" s="36">
        <v>0</v>
      </c>
    </row>
    <row r="90" spans="1:9" ht="15.75" customHeight="1">
      <c r="B90" s="37" t="s">
        <v>186</v>
      </c>
      <c r="C90" s="67"/>
      <c r="D90" s="36"/>
      <c r="E90" s="36"/>
      <c r="F90" s="36"/>
      <c r="G90" s="63" t="s">
        <v>159</v>
      </c>
      <c r="H90" s="36"/>
      <c r="I90" s="36">
        <v>0</v>
      </c>
    </row>
    <row r="91" spans="1:9" ht="15.75" customHeight="1">
      <c r="B91" s="37" t="s">
        <v>187</v>
      </c>
      <c r="C91" s="67"/>
      <c r="D91" s="36"/>
      <c r="E91" s="36"/>
      <c r="F91" s="36"/>
      <c r="G91" s="63" t="s">
        <v>159</v>
      </c>
      <c r="H91" s="36"/>
      <c r="I91" s="36">
        <v>0</v>
      </c>
    </row>
    <row r="92" spans="1:9" ht="24" customHeight="1">
      <c r="B92" s="38" t="s">
        <v>65</v>
      </c>
      <c r="C92" s="38" t="s">
        <v>171</v>
      </c>
      <c r="D92" s="38" t="s">
        <v>76</v>
      </c>
      <c r="E92" s="39" t="s">
        <v>67</v>
      </c>
      <c r="F92" s="40" t="s">
        <v>68</v>
      </c>
      <c r="G92" s="38" t="s">
        <v>78</v>
      </c>
      <c r="H92" s="38" t="s">
        <v>14</v>
      </c>
      <c r="I92" s="38" t="s">
        <v>156</v>
      </c>
    </row>
    <row r="93" spans="1:9" ht="15.75" customHeight="1">
      <c r="B93" s="36"/>
      <c r="C93" s="41" t="s">
        <v>80</v>
      </c>
      <c r="D93" s="36"/>
      <c r="E93" s="36"/>
      <c r="F93" s="36"/>
      <c r="G93" s="41" t="s">
        <v>81</v>
      </c>
      <c r="H93" s="36"/>
      <c r="I93" s="36"/>
    </row>
    <row r="94" spans="1:9" ht="15.75" customHeight="1">
      <c r="B94" s="37" t="s">
        <v>188</v>
      </c>
      <c r="C94" s="67"/>
      <c r="D94" s="36"/>
      <c r="E94" s="36"/>
      <c r="F94" s="36"/>
      <c r="G94" s="42" t="s">
        <v>116</v>
      </c>
      <c r="H94" s="36"/>
      <c r="I94" s="36">
        <v>0</v>
      </c>
    </row>
    <row r="95" spans="1:9" ht="15.75" customHeight="1">
      <c r="B95" s="37" t="s">
        <v>189</v>
      </c>
      <c r="C95" s="67"/>
      <c r="D95" s="36"/>
      <c r="E95" s="36"/>
      <c r="F95" s="36"/>
      <c r="G95" s="42" t="s">
        <v>116</v>
      </c>
      <c r="H95" s="36"/>
      <c r="I95" s="36">
        <v>0</v>
      </c>
    </row>
    <row r="96" spans="1:9" ht="15.75" customHeight="1">
      <c r="B96" s="37" t="s">
        <v>190</v>
      </c>
      <c r="C96" s="67"/>
      <c r="D96" s="36"/>
      <c r="E96" s="36"/>
      <c r="F96" s="36"/>
      <c r="G96" s="42" t="s">
        <v>116</v>
      </c>
      <c r="H96" s="36"/>
      <c r="I96" s="36">
        <v>0</v>
      </c>
    </row>
    <row r="97" spans="2:9" ht="15.75" customHeight="1">
      <c r="B97" s="37" t="s">
        <v>191</v>
      </c>
      <c r="C97" s="67"/>
      <c r="D97" s="36"/>
      <c r="E97" s="36"/>
      <c r="F97" s="36"/>
      <c r="G97" s="42" t="s">
        <v>116</v>
      </c>
      <c r="H97" s="36"/>
      <c r="I97" s="36">
        <v>0</v>
      </c>
    </row>
    <row r="98" spans="2:9" ht="15.75" customHeight="1"/>
    <row r="99" spans="2:9" ht="15.75" customHeight="1"/>
    <row r="100" spans="2:9" ht="15.75" customHeight="1"/>
    <row r="101" spans="2:9" ht="15.75" customHeight="1"/>
    <row r="102" spans="2:9" ht="15.75" customHeight="1"/>
    <row r="103" spans="2:9" ht="15.75" customHeight="1"/>
    <row r="104" spans="2:9" ht="15.75" customHeight="1"/>
    <row r="105" spans="2:9" ht="15.75" customHeight="1"/>
    <row r="106" spans="2:9" ht="15.75" customHeight="1"/>
    <row r="107" spans="2:9" ht="15.75" customHeight="1"/>
    <row r="108" spans="2:9" ht="15.75" customHeight="1"/>
    <row r="109" spans="2:9" ht="15.75" customHeight="1"/>
    <row r="110" spans="2:9" ht="15.75" customHeight="1"/>
    <row r="111" spans="2:9" ht="15.75" customHeight="1"/>
    <row r="112" spans="2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39">
    <mergeCell ref="B85:I85"/>
    <mergeCell ref="C62:F62"/>
    <mergeCell ref="C63:F63"/>
    <mergeCell ref="C64:F64"/>
    <mergeCell ref="B65:I65"/>
    <mergeCell ref="C50:F50"/>
    <mergeCell ref="C51:F51"/>
    <mergeCell ref="C52:F52"/>
    <mergeCell ref="B35:I35"/>
    <mergeCell ref="C33:F33"/>
    <mergeCell ref="C34:F34"/>
    <mergeCell ref="C38:F38"/>
    <mergeCell ref="C39:F39"/>
    <mergeCell ref="C40:F40"/>
    <mergeCell ref="C44:F44"/>
    <mergeCell ref="C45:F45"/>
    <mergeCell ref="C46:F46"/>
    <mergeCell ref="C49:F49"/>
    <mergeCell ref="C13:F13"/>
    <mergeCell ref="C14:F14"/>
    <mergeCell ref="C15:F15"/>
    <mergeCell ref="C16:F16"/>
    <mergeCell ref="C19:F19"/>
    <mergeCell ref="C20:F20"/>
    <mergeCell ref="C21:F21"/>
    <mergeCell ref="C22:F22"/>
    <mergeCell ref="C43:F43"/>
    <mergeCell ref="C25:F25"/>
    <mergeCell ref="C26:F26"/>
    <mergeCell ref="C27:F27"/>
    <mergeCell ref="C28:F28"/>
    <mergeCell ref="C31:F31"/>
    <mergeCell ref="C32:F32"/>
    <mergeCell ref="C10:F10"/>
    <mergeCell ref="B2:I2"/>
    <mergeCell ref="C6:F6"/>
    <mergeCell ref="C7:F7"/>
    <mergeCell ref="C8:F8"/>
    <mergeCell ref="C9:F9"/>
  </mergeCells>
  <phoneticPr fontId="16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77"/>
  <sheetViews>
    <sheetView topLeftCell="A117" zoomScale="81" zoomScaleNormal="81" workbookViewId="0">
      <selection activeCell="C119" sqref="C119"/>
    </sheetView>
  </sheetViews>
  <sheetFormatPr defaultColWidth="12.5703125" defaultRowHeight="15" customHeight="1"/>
  <cols>
    <col min="1" max="1" width="12.5703125" style="2" customWidth="1"/>
    <col min="2" max="2" width="24.7109375" style="2" customWidth="1"/>
    <col min="3" max="3" width="12.5703125" style="2" customWidth="1"/>
    <col min="4" max="4" width="16.28515625" style="2" customWidth="1"/>
    <col min="5" max="8" width="12.5703125" style="2" customWidth="1"/>
    <col min="9" max="9" width="16.7109375" style="2" bestFit="1" customWidth="1"/>
    <col min="10" max="10" width="16.28515625" style="2" bestFit="1" customWidth="1"/>
    <col min="11" max="11" width="13" style="2" bestFit="1" customWidth="1"/>
    <col min="12" max="16384" width="12.5703125" style="2"/>
  </cols>
  <sheetData>
    <row r="1" spans="1:11" ht="15.75" customHeight="1"/>
    <row r="2" spans="1:11" ht="15.75" customHeight="1">
      <c r="E2" s="82" t="s">
        <v>192</v>
      </c>
      <c r="F2" s="82"/>
      <c r="G2" s="82"/>
      <c r="H2" s="82"/>
      <c r="I2" s="82"/>
    </row>
    <row r="3" spans="1:11" ht="15.75" customHeight="1"/>
    <row r="4" spans="1:11" ht="15.75" customHeight="1">
      <c r="B4" s="83" t="s">
        <v>193</v>
      </c>
      <c r="C4" s="83"/>
      <c r="D4" s="83"/>
      <c r="E4" s="83"/>
      <c r="F4" s="83"/>
      <c r="G4" s="83"/>
      <c r="H4" s="83"/>
      <c r="I4" s="83"/>
      <c r="J4" s="83"/>
      <c r="K4" s="83"/>
    </row>
    <row r="5" spans="1:11" ht="15.75" customHeight="1">
      <c r="B5" s="53"/>
      <c r="C5" s="53" t="s">
        <v>82</v>
      </c>
      <c r="D5" s="53" t="s">
        <v>194</v>
      </c>
      <c r="E5" s="53" t="s">
        <v>195</v>
      </c>
      <c r="F5" s="53" t="s">
        <v>196</v>
      </c>
      <c r="G5" s="53" t="s">
        <v>197</v>
      </c>
      <c r="H5" s="53" t="s">
        <v>198</v>
      </c>
      <c r="I5" s="53" t="s">
        <v>199</v>
      </c>
      <c r="J5" s="53" t="s">
        <v>200</v>
      </c>
      <c r="K5" s="53" t="s">
        <v>201</v>
      </c>
    </row>
    <row r="6" spans="1:11" ht="15.75" customHeight="1">
      <c r="A6" s="3"/>
      <c r="B6" s="64" t="s">
        <v>83</v>
      </c>
      <c r="C6" s="54">
        <v>1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55">
        <f>SUM(D6:J6)</f>
        <v>1</v>
      </c>
    </row>
    <row r="7" spans="1:11" ht="15.75" customHeight="1">
      <c r="A7" s="3"/>
      <c r="B7" s="64" t="s">
        <v>86</v>
      </c>
      <c r="C7" s="54">
        <v>3</v>
      </c>
      <c r="D7" s="64">
        <v>0</v>
      </c>
      <c r="E7" s="64">
        <v>0</v>
      </c>
      <c r="F7" s="64">
        <v>0</v>
      </c>
      <c r="G7" s="64">
        <v>1</v>
      </c>
      <c r="H7" s="64">
        <v>1</v>
      </c>
      <c r="I7" s="64">
        <v>1</v>
      </c>
      <c r="J7" s="64">
        <v>0</v>
      </c>
      <c r="K7" s="55">
        <f t="shared" ref="K7:K10" si="0">SUM(D7:J7)</f>
        <v>3</v>
      </c>
    </row>
    <row r="8" spans="1:11" ht="15.75" customHeight="1">
      <c r="B8" s="64" t="s">
        <v>88</v>
      </c>
      <c r="C8" s="54">
        <v>4</v>
      </c>
      <c r="D8" s="64">
        <v>1</v>
      </c>
      <c r="E8" s="64">
        <v>2</v>
      </c>
      <c r="F8" s="64">
        <v>1</v>
      </c>
      <c r="G8" s="64">
        <v>1</v>
      </c>
      <c r="H8" s="64">
        <v>0</v>
      </c>
      <c r="I8" s="64">
        <v>0</v>
      </c>
      <c r="J8" s="64">
        <v>0</v>
      </c>
      <c r="K8" s="55">
        <f t="shared" si="0"/>
        <v>5</v>
      </c>
    </row>
    <row r="9" spans="1:11" ht="15.75" customHeight="1">
      <c r="B9" s="64" t="s">
        <v>90</v>
      </c>
      <c r="C9" s="54">
        <v>3</v>
      </c>
      <c r="D9" s="64">
        <v>2</v>
      </c>
      <c r="E9" s="64">
        <v>0</v>
      </c>
      <c r="F9" s="64">
        <v>0</v>
      </c>
      <c r="G9" s="64">
        <v>1</v>
      </c>
      <c r="H9" s="64">
        <v>0</v>
      </c>
      <c r="I9" s="64">
        <v>1</v>
      </c>
      <c r="J9" s="64">
        <v>0</v>
      </c>
      <c r="K9" s="55">
        <f t="shared" si="0"/>
        <v>4</v>
      </c>
    </row>
    <row r="10" spans="1:11" ht="15.75" customHeight="1">
      <c r="B10" s="64" t="s">
        <v>92</v>
      </c>
      <c r="C10" s="54">
        <v>0.5</v>
      </c>
      <c r="D10" s="6">
        <v>0.5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55">
        <f t="shared" si="0"/>
        <v>0.5</v>
      </c>
    </row>
    <row r="11" spans="1:11" ht="15.75" customHeight="1">
      <c r="B11" s="56" t="s">
        <v>202</v>
      </c>
      <c r="C11" s="53">
        <f>SUM(C6:C10)</f>
        <v>11.5</v>
      </c>
      <c r="D11" s="53">
        <f>SUM(D6:D10)</f>
        <v>3.5</v>
      </c>
      <c r="E11" s="53">
        <f t="shared" ref="E11:J11" si="1">SUM(E6:E10)</f>
        <v>2</v>
      </c>
      <c r="F11" s="53">
        <f t="shared" si="1"/>
        <v>1</v>
      </c>
      <c r="G11" s="53">
        <f t="shared" si="1"/>
        <v>3</v>
      </c>
      <c r="H11" s="53">
        <f t="shared" si="1"/>
        <v>1</v>
      </c>
      <c r="I11" s="53">
        <f t="shared" si="1"/>
        <v>2</v>
      </c>
      <c r="J11" s="53">
        <f t="shared" si="1"/>
        <v>1</v>
      </c>
      <c r="K11" s="57"/>
    </row>
    <row r="12" spans="1:11" ht="15.75" customHeight="1">
      <c r="B12" s="56" t="s">
        <v>203</v>
      </c>
      <c r="C12" s="53">
        <f>SUM(C6:C10)</f>
        <v>11.5</v>
      </c>
      <c r="D12" s="53">
        <f>C12-(SUM(C6:C10)/7)</f>
        <v>9.8571428571428577</v>
      </c>
      <c r="E12" s="53">
        <f>D12-(SUM(C6:C10)/7)</f>
        <v>8.2142857142857153</v>
      </c>
      <c r="F12" s="53">
        <f>E12-(SUM(C6:C10)/7)</f>
        <v>6.571428571428573</v>
      </c>
      <c r="G12" s="53">
        <f>F12-(SUM(C6:C10)/7)</f>
        <v>4.9285714285714306</v>
      </c>
      <c r="H12" s="53">
        <f>G12-(SUM(C6:C10)/7)</f>
        <v>3.2857142857142878</v>
      </c>
      <c r="I12" s="53">
        <f>H12-(SUM(C6:C10)/7)</f>
        <v>1.642857142857145</v>
      </c>
      <c r="J12" s="53">
        <f>I12-(SUM(C6:C10)/7)</f>
        <v>2.2204460492503131E-15</v>
      </c>
      <c r="K12" s="57"/>
    </row>
    <row r="13" spans="1:11" ht="15.75" customHeight="1"/>
    <row r="14" spans="1:11" ht="15.75" customHeight="1"/>
    <row r="15" spans="1:11" ht="15.75" customHeight="1"/>
    <row r="16" spans="1:11" ht="15.75" customHeight="1"/>
    <row r="17" spans="2:5" ht="15.75" customHeight="1"/>
    <row r="18" spans="2:5" ht="15.75" customHeight="1"/>
    <row r="19" spans="2:5" ht="15.75" customHeight="1"/>
    <row r="20" spans="2:5" ht="15.75" customHeight="1"/>
    <row r="21" spans="2:5" ht="15.75" customHeight="1">
      <c r="B21" s="81"/>
      <c r="C21" s="81"/>
      <c r="D21" s="81"/>
      <c r="E21" s="81"/>
    </row>
    <row r="22" spans="2:5" ht="15.75" customHeight="1">
      <c r="B22" s="81"/>
      <c r="C22" s="81"/>
      <c r="D22" s="81"/>
      <c r="E22" s="81"/>
    </row>
    <row r="23" spans="2:5" ht="15.75" customHeight="1">
      <c r="B23" s="81"/>
      <c r="C23" s="81"/>
      <c r="D23" s="81"/>
      <c r="E23" s="81"/>
    </row>
    <row r="24" spans="2:5" ht="15.75" customHeight="1">
      <c r="B24" s="81"/>
      <c r="C24" s="81"/>
      <c r="D24" s="81"/>
      <c r="E24" s="81"/>
    </row>
    <row r="25" spans="2:5" ht="15.75" customHeight="1">
      <c r="B25" s="81"/>
      <c r="C25" s="81"/>
      <c r="D25" s="81"/>
      <c r="E25" s="81"/>
    </row>
    <row r="26" spans="2:5" ht="15.75" customHeight="1">
      <c r="B26" s="81"/>
      <c r="C26" s="81"/>
      <c r="D26" s="81"/>
      <c r="E26" s="81"/>
    </row>
    <row r="27" spans="2:5" ht="15.75" customHeight="1">
      <c r="B27" s="81"/>
      <c r="C27" s="81"/>
      <c r="D27" s="81"/>
      <c r="E27" s="81"/>
    </row>
    <row r="28" spans="2:5" ht="15.75" customHeight="1">
      <c r="B28" s="81"/>
      <c r="C28" s="81"/>
      <c r="D28" s="81"/>
      <c r="E28" s="81"/>
    </row>
    <row r="29" spans="2:5" ht="15.75" customHeight="1">
      <c r="B29" s="81"/>
      <c r="C29" s="81"/>
      <c r="D29" s="81"/>
      <c r="E29" s="81"/>
    </row>
    <row r="30" spans="2:5" ht="15.75" customHeight="1">
      <c r="B30" s="81"/>
      <c r="C30" s="81"/>
      <c r="D30" s="81"/>
      <c r="E30" s="81"/>
    </row>
    <row r="31" spans="2:5" ht="15.75" customHeight="1">
      <c r="B31" s="81"/>
      <c r="C31" s="81"/>
      <c r="D31" s="81"/>
      <c r="E31" s="81"/>
    </row>
    <row r="32" spans="2:5" ht="15.75" customHeight="1"/>
    <row r="33" spans="2:11" ht="15.75" customHeight="1">
      <c r="B33" s="84" t="s">
        <v>204</v>
      </c>
      <c r="C33" s="84"/>
      <c r="D33" s="84"/>
      <c r="E33" s="84"/>
      <c r="F33" s="84"/>
      <c r="G33" s="84"/>
      <c r="H33" s="84"/>
      <c r="I33" s="84"/>
      <c r="J33" s="84"/>
      <c r="K33" s="84"/>
    </row>
    <row r="34" spans="2:11" ht="41.45" customHeight="1">
      <c r="B34" s="7" t="s">
        <v>205</v>
      </c>
      <c r="C34" s="7" t="s">
        <v>82</v>
      </c>
      <c r="D34" s="9" t="s">
        <v>206</v>
      </c>
      <c r="E34" s="9" t="s">
        <v>207</v>
      </c>
      <c r="F34" s="9" t="s">
        <v>208</v>
      </c>
      <c r="G34" s="9" t="s">
        <v>209</v>
      </c>
      <c r="H34" s="9" t="s">
        <v>210</v>
      </c>
      <c r="I34" s="7" t="s">
        <v>211</v>
      </c>
      <c r="J34" s="7" t="s">
        <v>200</v>
      </c>
      <c r="K34" s="7" t="s">
        <v>201</v>
      </c>
    </row>
    <row r="35" spans="2:11" ht="15.75" customHeight="1">
      <c r="B35" s="7" t="s">
        <v>94</v>
      </c>
      <c r="C35" s="8">
        <v>1.5</v>
      </c>
      <c r="D35" s="9">
        <v>0</v>
      </c>
      <c r="E35" s="9">
        <v>0.5</v>
      </c>
      <c r="F35" s="9">
        <v>0</v>
      </c>
      <c r="G35" s="9">
        <v>0</v>
      </c>
      <c r="H35" s="9">
        <v>0</v>
      </c>
      <c r="I35" s="7">
        <v>0</v>
      </c>
      <c r="J35" s="7">
        <v>1</v>
      </c>
      <c r="K35" s="10">
        <v>1.5</v>
      </c>
    </row>
    <row r="36" spans="2:11" ht="15.75" customHeight="1">
      <c r="B36" s="7" t="s">
        <v>97</v>
      </c>
      <c r="C36" s="8">
        <v>4</v>
      </c>
      <c r="D36" s="9">
        <v>1</v>
      </c>
      <c r="E36" s="9">
        <v>1</v>
      </c>
      <c r="F36" s="9">
        <v>1</v>
      </c>
      <c r="G36" s="9">
        <v>1</v>
      </c>
      <c r="H36" s="9">
        <v>0</v>
      </c>
      <c r="I36" s="7">
        <v>0</v>
      </c>
      <c r="J36" s="7">
        <v>0</v>
      </c>
      <c r="K36" s="10">
        <v>4</v>
      </c>
    </row>
    <row r="37" spans="2:11" ht="15.75" customHeight="1">
      <c r="B37" s="7" t="s">
        <v>99</v>
      </c>
      <c r="C37" s="8">
        <v>3</v>
      </c>
      <c r="D37" s="9">
        <v>2.5</v>
      </c>
      <c r="E37" s="9">
        <v>0</v>
      </c>
      <c r="F37" s="9">
        <v>0</v>
      </c>
      <c r="G37" s="9">
        <v>1</v>
      </c>
      <c r="H37" s="9">
        <v>0</v>
      </c>
      <c r="I37" s="7">
        <v>0</v>
      </c>
      <c r="J37" s="7">
        <v>0</v>
      </c>
      <c r="K37" s="10">
        <v>3</v>
      </c>
    </row>
    <row r="38" spans="2:11" ht="15.75" customHeight="1">
      <c r="B38" s="7" t="s">
        <v>101</v>
      </c>
      <c r="C38" s="8">
        <v>2.5</v>
      </c>
      <c r="D38" s="17">
        <v>1</v>
      </c>
      <c r="E38" s="9">
        <v>1</v>
      </c>
      <c r="F38" s="9">
        <v>0</v>
      </c>
      <c r="G38" s="9">
        <v>0</v>
      </c>
      <c r="H38" s="9">
        <v>0</v>
      </c>
      <c r="I38" s="7">
        <v>0</v>
      </c>
      <c r="J38" s="7">
        <v>0</v>
      </c>
      <c r="K38" s="10">
        <v>2.5</v>
      </c>
    </row>
    <row r="39" spans="2:11" ht="18" customHeight="1">
      <c r="B39" s="69" t="s">
        <v>202</v>
      </c>
      <c r="C39" s="70">
        <f t="shared" ref="C39:J39" si="2">SUM(C35:C38)</f>
        <v>11</v>
      </c>
      <c r="D39" s="71">
        <f t="shared" si="2"/>
        <v>4.5</v>
      </c>
      <c r="E39" s="16">
        <f t="shared" si="2"/>
        <v>2.5</v>
      </c>
      <c r="F39" s="9">
        <f t="shared" si="2"/>
        <v>1</v>
      </c>
      <c r="G39" s="9">
        <f t="shared" si="2"/>
        <v>2</v>
      </c>
      <c r="H39" s="9">
        <f t="shared" si="2"/>
        <v>0</v>
      </c>
      <c r="I39" s="70">
        <f t="shared" si="2"/>
        <v>0</v>
      </c>
      <c r="J39" s="7">
        <f t="shared" si="2"/>
        <v>1</v>
      </c>
      <c r="K39" s="13" t="s">
        <v>205</v>
      </c>
    </row>
    <row r="40" spans="2:11" ht="26.1" customHeight="1">
      <c r="B40" s="72" t="s">
        <v>203</v>
      </c>
      <c r="C40" s="7">
        <f>SUM(C35:C38)</f>
        <v>11</v>
      </c>
      <c r="D40" s="73">
        <f>C40-(SUM(C35:C38)/7)</f>
        <v>9.4285714285714288</v>
      </c>
      <c r="E40" s="11">
        <f>D40-(SUM(C35:C38)/7)</f>
        <v>7.8571428571428577</v>
      </c>
      <c r="F40" s="9">
        <f>E40-(SUM(C35:C38)/7)</f>
        <v>6.2857142857142865</v>
      </c>
      <c r="G40" s="9">
        <f>F40-(SUM(C35:C38)/7)</f>
        <v>4.7142857142857153</v>
      </c>
      <c r="H40" s="9">
        <f>G40-(SUM(C35:C38)/7)</f>
        <v>3.1428571428571441</v>
      </c>
      <c r="I40" s="70">
        <f>H40-(SUM(C35:C38)/7)</f>
        <v>1.5714285714285727</v>
      </c>
      <c r="J40" s="74">
        <f>I40-(SUM(C35:C38)/7)</f>
        <v>0</v>
      </c>
      <c r="K40" s="13" t="s">
        <v>205</v>
      </c>
    </row>
    <row r="41" spans="2:11" ht="15.75" customHeight="1">
      <c r="J41"/>
    </row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spans="2:11" ht="15.75" customHeight="1"/>
    <row r="50" spans="2:11" ht="15.75" customHeight="1"/>
    <row r="51" spans="2:11" ht="15.75" customHeight="1"/>
    <row r="52" spans="2:11" ht="15.75" customHeight="1"/>
    <row r="53" spans="2:11" ht="15.75" customHeight="1"/>
    <row r="54" spans="2:11" ht="15.75" customHeight="1"/>
    <row r="55" spans="2:11" ht="15.75" customHeight="1"/>
    <row r="56" spans="2:11" ht="15.75" customHeight="1"/>
    <row r="57" spans="2:11" ht="15.75" customHeight="1"/>
    <row r="58" spans="2:11" ht="15.75" customHeight="1">
      <c r="D58" s="4"/>
    </row>
    <row r="59" spans="2:11" ht="15.75" customHeight="1"/>
    <row r="60" spans="2:11" ht="15.75" customHeight="1">
      <c r="E60" s="4"/>
    </row>
    <row r="61" spans="2:11" ht="15.75" customHeight="1">
      <c r="E61" s="4"/>
    </row>
    <row r="62" spans="2:11" ht="15.75" customHeight="1">
      <c r="B62" s="80" t="s">
        <v>212</v>
      </c>
      <c r="C62" s="80"/>
      <c r="D62" s="80"/>
      <c r="E62" s="80"/>
      <c r="F62" s="80"/>
      <c r="G62" s="80"/>
      <c r="H62" s="80"/>
      <c r="I62" s="80"/>
      <c r="J62" s="80"/>
      <c r="K62" s="80"/>
    </row>
    <row r="63" spans="2:11" ht="27.75" customHeight="1">
      <c r="B63" s="7" t="s">
        <v>205</v>
      </c>
      <c r="C63" s="7" t="s">
        <v>82</v>
      </c>
      <c r="D63" s="9" t="s">
        <v>206</v>
      </c>
      <c r="E63" s="9" t="s">
        <v>195</v>
      </c>
      <c r="F63" s="9" t="s">
        <v>208</v>
      </c>
      <c r="G63" s="9" t="s">
        <v>209</v>
      </c>
      <c r="H63" s="9" t="s">
        <v>210</v>
      </c>
      <c r="I63" s="7" t="s">
        <v>211</v>
      </c>
      <c r="J63" s="7" t="s">
        <v>200</v>
      </c>
      <c r="K63" s="7" t="s">
        <v>201</v>
      </c>
    </row>
    <row r="64" spans="2:11" ht="15.75" customHeight="1">
      <c r="B64" s="7" t="s">
        <v>94</v>
      </c>
      <c r="C64" s="8">
        <v>1.5</v>
      </c>
      <c r="D64" s="9">
        <v>0</v>
      </c>
      <c r="E64" s="9">
        <v>0</v>
      </c>
      <c r="F64" s="9">
        <v>0</v>
      </c>
      <c r="G64" s="9">
        <v>1</v>
      </c>
      <c r="H64" s="9">
        <v>0.5</v>
      </c>
      <c r="I64" s="7">
        <v>0.5</v>
      </c>
      <c r="J64" s="7">
        <v>0</v>
      </c>
      <c r="K64" s="10">
        <v>1.5</v>
      </c>
    </row>
    <row r="65" spans="2:11" ht="15.75" customHeight="1">
      <c r="B65" s="7" t="s">
        <v>97</v>
      </c>
      <c r="C65" s="8">
        <v>4</v>
      </c>
      <c r="D65" s="9">
        <v>2</v>
      </c>
      <c r="E65" s="9">
        <v>1</v>
      </c>
      <c r="F65" s="9">
        <v>2</v>
      </c>
      <c r="G65" s="9">
        <v>0</v>
      </c>
      <c r="H65" s="9">
        <v>0</v>
      </c>
      <c r="I65" s="7">
        <v>0</v>
      </c>
      <c r="J65" s="7">
        <v>0</v>
      </c>
      <c r="K65" s="10">
        <v>4</v>
      </c>
    </row>
    <row r="66" spans="2:11" ht="15.75" customHeight="1">
      <c r="B66" s="7" t="s">
        <v>99</v>
      </c>
      <c r="C66" s="8">
        <v>1</v>
      </c>
      <c r="D66" s="9">
        <v>3</v>
      </c>
      <c r="E66" s="9">
        <v>0</v>
      </c>
      <c r="F66" s="9">
        <v>0</v>
      </c>
      <c r="G66" s="9">
        <v>0</v>
      </c>
      <c r="H66" s="9">
        <v>0</v>
      </c>
      <c r="I66" s="7">
        <v>0</v>
      </c>
      <c r="J66" s="7">
        <v>0</v>
      </c>
      <c r="K66" s="12">
        <v>3</v>
      </c>
    </row>
    <row r="67" spans="2:11" ht="15.75" customHeight="1">
      <c r="B67" s="7" t="s">
        <v>101</v>
      </c>
      <c r="C67" s="8">
        <v>2.5</v>
      </c>
      <c r="D67" s="9">
        <v>2</v>
      </c>
      <c r="E67" s="9">
        <v>1</v>
      </c>
      <c r="F67" s="9">
        <v>1</v>
      </c>
      <c r="G67" s="9">
        <v>0</v>
      </c>
      <c r="H67" s="9">
        <v>0</v>
      </c>
      <c r="I67" s="7">
        <v>0</v>
      </c>
      <c r="J67" s="14">
        <v>0</v>
      </c>
      <c r="K67" s="10">
        <v>2.5</v>
      </c>
    </row>
    <row r="68" spans="2:11" ht="29.25" customHeight="1">
      <c r="B68" s="69" t="s">
        <v>202</v>
      </c>
      <c r="C68" s="7">
        <v>11.5</v>
      </c>
      <c r="D68" s="9">
        <v>4.5</v>
      </c>
      <c r="E68" s="11">
        <v>2.5</v>
      </c>
      <c r="F68" s="9">
        <v>-0.5</v>
      </c>
      <c r="G68" s="9">
        <v>-1.5</v>
      </c>
      <c r="H68" s="9">
        <v>-2</v>
      </c>
      <c r="I68" s="70">
        <v>-2.5</v>
      </c>
      <c r="J68" s="7">
        <v>-2.5</v>
      </c>
      <c r="K68" s="5" t="s">
        <v>205</v>
      </c>
    </row>
    <row r="69" spans="2:11" ht="27.75" customHeight="1">
      <c r="B69" s="72" t="s">
        <v>203</v>
      </c>
      <c r="C69" s="7">
        <v>11.5</v>
      </c>
      <c r="D69" s="9">
        <v>9.8571428569999995</v>
      </c>
      <c r="E69" s="11">
        <v>8.2142857140000007</v>
      </c>
      <c r="F69" s="9">
        <v>6.5714285710000002</v>
      </c>
      <c r="G69" s="9">
        <v>4.9285714289999998</v>
      </c>
      <c r="H69" s="9">
        <v>3.2857142860000002</v>
      </c>
      <c r="I69" s="70">
        <v>1.6428571430000001</v>
      </c>
      <c r="J69" s="74">
        <v>2.22045E-15</v>
      </c>
      <c r="K69" s="5" t="s">
        <v>205</v>
      </c>
    </row>
    <row r="70" spans="2:11" ht="15.75" customHeight="1"/>
    <row r="71" spans="2:11" ht="15.75" customHeight="1"/>
    <row r="72" spans="2:11" ht="15.75" customHeight="1"/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/>
    <row r="80" spans="2:11" ht="15.75" customHeight="1"/>
    <row r="81" spans="2:11" ht="15.75" customHeight="1"/>
    <row r="82" spans="2:11" ht="15.75" customHeight="1"/>
    <row r="83" spans="2:11" ht="15.75" customHeight="1"/>
    <row r="84" spans="2:11" ht="15.75" customHeight="1"/>
    <row r="85" spans="2:11" ht="15.75" customHeight="1"/>
    <row r="86" spans="2:11" ht="15.75" customHeight="1"/>
    <row r="87" spans="2:11" ht="15.75" customHeight="1"/>
    <row r="88" spans="2:11" ht="15.75" customHeight="1"/>
    <row r="89" spans="2:11" ht="15.75" customHeight="1">
      <c r="B89" s="15"/>
    </row>
    <row r="90" spans="2:11" ht="15.75" customHeight="1"/>
    <row r="91" spans="2:11" ht="15.75" customHeight="1">
      <c r="B91" s="80" t="s">
        <v>213</v>
      </c>
      <c r="C91" s="80"/>
      <c r="D91" s="80"/>
      <c r="E91" s="80"/>
      <c r="F91" s="80"/>
      <c r="G91" s="80"/>
      <c r="H91" s="80"/>
      <c r="I91" s="80"/>
      <c r="J91" s="80"/>
      <c r="K91" s="80"/>
    </row>
    <row r="92" spans="2:11" ht="25.5" customHeight="1">
      <c r="B92" s="7" t="s">
        <v>205</v>
      </c>
      <c r="C92" s="7" t="s">
        <v>82</v>
      </c>
      <c r="D92" s="9" t="s">
        <v>206</v>
      </c>
      <c r="E92" s="9" t="s">
        <v>207</v>
      </c>
      <c r="F92" s="9" t="s">
        <v>208</v>
      </c>
      <c r="G92" s="9" t="s">
        <v>209</v>
      </c>
      <c r="H92" s="9" t="s">
        <v>210</v>
      </c>
      <c r="I92" s="7" t="s">
        <v>211</v>
      </c>
      <c r="J92" s="7" t="s">
        <v>214</v>
      </c>
      <c r="K92" s="7" t="s">
        <v>201</v>
      </c>
    </row>
    <row r="93" spans="2:11" ht="15.75" customHeight="1">
      <c r="B93" s="7" t="s">
        <v>121</v>
      </c>
      <c r="C93" s="8">
        <v>1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7">
        <v>0</v>
      </c>
      <c r="J93" s="7">
        <v>0</v>
      </c>
      <c r="K93" s="10">
        <v>1.5</v>
      </c>
    </row>
    <row r="94" spans="2:11" ht="15.75" customHeight="1">
      <c r="B94" s="7" t="s">
        <v>123</v>
      </c>
      <c r="C94" s="8">
        <v>1.5</v>
      </c>
      <c r="D94" s="9">
        <v>0</v>
      </c>
      <c r="E94" s="9">
        <v>1</v>
      </c>
      <c r="F94" s="9">
        <v>2</v>
      </c>
      <c r="G94" s="9">
        <v>0</v>
      </c>
      <c r="H94" s="9">
        <v>0</v>
      </c>
      <c r="I94" s="7">
        <v>0</v>
      </c>
      <c r="J94" s="7">
        <v>0</v>
      </c>
      <c r="K94" s="10">
        <v>1</v>
      </c>
    </row>
    <row r="95" spans="2:11" ht="15.75" customHeight="1">
      <c r="B95" s="7" t="s">
        <v>125</v>
      </c>
      <c r="C95" s="8">
        <v>1</v>
      </c>
      <c r="D95" s="9">
        <v>3</v>
      </c>
      <c r="E95" s="9">
        <v>0</v>
      </c>
      <c r="F95" s="9">
        <v>0</v>
      </c>
      <c r="G95" s="9">
        <v>0</v>
      </c>
      <c r="H95" s="9">
        <v>0</v>
      </c>
      <c r="I95" s="7">
        <v>0</v>
      </c>
      <c r="J95" s="7">
        <v>0</v>
      </c>
      <c r="K95" s="12">
        <v>1.5</v>
      </c>
    </row>
    <row r="96" spans="2:11" ht="15.75" customHeight="1">
      <c r="B96" s="7" t="s">
        <v>127</v>
      </c>
      <c r="C96" s="8">
        <v>2</v>
      </c>
      <c r="D96" s="9">
        <v>2</v>
      </c>
      <c r="E96" s="9">
        <v>1</v>
      </c>
      <c r="F96" s="9">
        <v>1</v>
      </c>
      <c r="G96" s="9">
        <v>0</v>
      </c>
      <c r="H96" s="9">
        <v>0</v>
      </c>
      <c r="I96" s="7">
        <v>0</v>
      </c>
      <c r="J96" s="14">
        <v>0</v>
      </c>
      <c r="K96" s="10">
        <v>2</v>
      </c>
    </row>
    <row r="97" spans="2:11" ht="15.75" customHeight="1">
      <c r="B97" s="69" t="s">
        <v>202</v>
      </c>
      <c r="C97" s="7">
        <v>11.5</v>
      </c>
      <c r="D97" s="9">
        <v>4.5</v>
      </c>
      <c r="E97" s="11">
        <v>2.5</v>
      </c>
      <c r="F97" s="9">
        <v>-0.5</v>
      </c>
      <c r="G97" s="9">
        <v>-1.5</v>
      </c>
      <c r="H97" s="9">
        <v>-2</v>
      </c>
      <c r="I97" s="70">
        <v>-2.5</v>
      </c>
      <c r="J97" s="7">
        <v>-2.5</v>
      </c>
      <c r="K97" s="5" t="s">
        <v>205</v>
      </c>
    </row>
    <row r="98" spans="2:11" ht="25.5" customHeight="1">
      <c r="B98" s="72" t="s">
        <v>203</v>
      </c>
      <c r="C98" s="7">
        <v>11.5</v>
      </c>
      <c r="D98" s="9">
        <v>9.8571428569999995</v>
      </c>
      <c r="E98" s="11">
        <v>8.2142857140000007</v>
      </c>
      <c r="F98" s="9">
        <v>6.5714285710000002</v>
      </c>
      <c r="G98" s="9">
        <v>4.9285714289999998</v>
      </c>
      <c r="H98" s="9">
        <v>3.2857142860000002</v>
      </c>
      <c r="I98" s="70">
        <v>1.6428571430000001</v>
      </c>
      <c r="J98" s="74">
        <v>2.22045E-15</v>
      </c>
      <c r="K98" s="5" t="s">
        <v>205</v>
      </c>
    </row>
    <row r="99" spans="2:11" ht="15.75" customHeight="1"/>
    <row r="100" spans="2:11" ht="15.75" customHeight="1"/>
    <row r="101" spans="2:11" ht="15.75" customHeight="1"/>
    <row r="102" spans="2:11" ht="15.75" customHeight="1"/>
    <row r="103" spans="2:11" ht="15.75" customHeight="1"/>
    <row r="104" spans="2:11" ht="15.75" customHeight="1"/>
    <row r="105" spans="2:11" ht="15.75" customHeight="1"/>
    <row r="106" spans="2:11" ht="15.75" customHeight="1"/>
    <row r="107" spans="2:11" ht="15.75" customHeight="1"/>
    <row r="108" spans="2:11" ht="15.75" customHeight="1"/>
    <row r="109" spans="2:11" ht="15.75" customHeight="1"/>
    <row r="110" spans="2:11" ht="15.75" customHeight="1"/>
    <row r="111" spans="2:11" ht="15.75" customHeight="1"/>
    <row r="112" spans="2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">
    <mergeCell ref="B62:K62"/>
    <mergeCell ref="B91:K91"/>
    <mergeCell ref="B21:E31"/>
    <mergeCell ref="E2:I2"/>
    <mergeCell ref="B4:K4"/>
    <mergeCell ref="B33:K33"/>
  </mergeCells>
  <pageMargins left="0.7" right="0.7" top="0.75" bottom="0.75" header="0" footer="0"/>
  <pageSetup orientation="landscape" r:id="rId1"/>
  <ignoredErrors>
    <ignoredError sqref="K6:K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FB06-A511-4F17-98F6-F457D7DD2504}">
  <dimension ref="B3:K107"/>
  <sheetViews>
    <sheetView topLeftCell="A91" zoomScale="95" workbookViewId="0">
      <selection activeCell="J106" sqref="J106"/>
    </sheetView>
  </sheetViews>
  <sheetFormatPr defaultColWidth="11.42578125" defaultRowHeight="12.6"/>
  <cols>
    <col min="2" max="2" width="24.7109375" customWidth="1"/>
    <col min="3" max="10" width="13.140625" customWidth="1"/>
    <col min="11" max="11" width="12.7109375" customWidth="1"/>
  </cols>
  <sheetData>
    <row r="3" spans="2:11">
      <c r="B3" s="83" t="s">
        <v>215</v>
      </c>
      <c r="C3" s="83"/>
      <c r="D3" s="83"/>
      <c r="E3" s="83"/>
      <c r="F3" s="83"/>
      <c r="G3" s="83"/>
      <c r="H3" s="83"/>
      <c r="I3" s="83"/>
      <c r="J3" s="83"/>
      <c r="K3" s="83"/>
    </row>
    <row r="4" spans="2:11">
      <c r="B4" s="53"/>
      <c r="C4" s="53" t="s">
        <v>82</v>
      </c>
      <c r="D4" s="53" t="s">
        <v>194</v>
      </c>
      <c r="E4" s="53" t="s">
        <v>195</v>
      </c>
      <c r="F4" s="53" t="s">
        <v>196</v>
      </c>
      <c r="G4" s="53" t="s">
        <v>197</v>
      </c>
      <c r="H4" s="53" t="s">
        <v>198</v>
      </c>
      <c r="I4" s="53" t="s">
        <v>199</v>
      </c>
      <c r="J4" s="53" t="s">
        <v>200</v>
      </c>
      <c r="K4" s="53" t="s">
        <v>201</v>
      </c>
    </row>
    <row r="5" spans="2:11">
      <c r="B5" s="64" t="s">
        <v>132</v>
      </c>
      <c r="C5" s="54">
        <v>1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1</v>
      </c>
      <c r="K5" s="55">
        <f>SUM(D5:J5)</f>
        <v>1</v>
      </c>
    </row>
    <row r="6" spans="2:11">
      <c r="B6" s="64" t="s">
        <v>134</v>
      </c>
      <c r="C6" s="54">
        <v>2</v>
      </c>
      <c r="D6" s="64">
        <v>0</v>
      </c>
      <c r="E6" s="64">
        <v>0</v>
      </c>
      <c r="F6" s="64">
        <v>0</v>
      </c>
      <c r="G6" s="64">
        <v>0</v>
      </c>
      <c r="H6" s="64">
        <v>1</v>
      </c>
      <c r="I6" s="64">
        <v>1</v>
      </c>
      <c r="J6" s="64">
        <v>0</v>
      </c>
      <c r="K6" s="55">
        <f t="shared" ref="K6:K7" si="0">SUM(D6:J6)</f>
        <v>2</v>
      </c>
    </row>
    <row r="7" spans="2:11">
      <c r="B7" s="64" t="s">
        <v>136</v>
      </c>
      <c r="C7" s="54">
        <v>2</v>
      </c>
      <c r="D7" s="64">
        <v>0</v>
      </c>
      <c r="E7" s="64">
        <v>0</v>
      </c>
      <c r="F7" s="64">
        <v>0.5</v>
      </c>
      <c r="G7" s="64">
        <v>0.5</v>
      </c>
      <c r="H7" s="64">
        <v>1</v>
      </c>
      <c r="I7" s="64">
        <v>0</v>
      </c>
      <c r="J7" s="64">
        <v>0</v>
      </c>
      <c r="K7" s="55">
        <f t="shared" si="0"/>
        <v>2</v>
      </c>
    </row>
    <row r="8" spans="2:11">
      <c r="B8" s="56" t="s">
        <v>202</v>
      </c>
      <c r="C8" s="53">
        <f t="shared" ref="C8:J8" si="1">SUM(C5:C7)</f>
        <v>5</v>
      </c>
      <c r="D8" s="53">
        <f t="shared" si="1"/>
        <v>0</v>
      </c>
      <c r="E8" s="53">
        <f t="shared" si="1"/>
        <v>0</v>
      </c>
      <c r="F8" s="53">
        <f t="shared" si="1"/>
        <v>0.5</v>
      </c>
      <c r="G8" s="53">
        <f t="shared" si="1"/>
        <v>0.5</v>
      </c>
      <c r="H8" s="53">
        <f t="shared" si="1"/>
        <v>2</v>
      </c>
      <c r="I8" s="53">
        <f t="shared" si="1"/>
        <v>1</v>
      </c>
      <c r="J8" s="53">
        <f t="shared" si="1"/>
        <v>1</v>
      </c>
      <c r="K8" s="57"/>
    </row>
    <row r="9" spans="2:11">
      <c r="B9" s="56" t="s">
        <v>203</v>
      </c>
      <c r="C9" s="53">
        <f>SUM(C5:C7)</f>
        <v>5</v>
      </c>
      <c r="D9" s="53">
        <f>C9-(SUM(C5:C7)/7)</f>
        <v>4.2857142857142856</v>
      </c>
      <c r="E9" s="53">
        <f>D9-(SUM(C5:C7)/7)</f>
        <v>3.5714285714285712</v>
      </c>
      <c r="F9" s="53">
        <f>E9-(SUM(C5:C7)/7)</f>
        <v>2.8571428571428568</v>
      </c>
      <c r="G9" s="53">
        <f>F9-(SUM(C5:C7)/7)</f>
        <v>2.1428571428571423</v>
      </c>
      <c r="H9" s="53">
        <f>G9-(SUM(C5:C7)/7)</f>
        <v>1.4285714285714279</v>
      </c>
      <c r="I9" s="53">
        <f>H9-(SUM(C5:C7)/7)</f>
        <v>0.71428571428571364</v>
      </c>
      <c r="J9" s="53">
        <f>I9-(SUM(C5:C7)/7)</f>
        <v>0</v>
      </c>
      <c r="K9" s="57"/>
    </row>
    <row r="35" spans="2:11">
      <c r="B35" s="83" t="s">
        <v>216</v>
      </c>
      <c r="C35" s="83"/>
      <c r="D35" s="83"/>
      <c r="E35" s="83"/>
      <c r="F35" s="83"/>
      <c r="G35" s="83"/>
      <c r="H35" s="83"/>
      <c r="I35" s="83"/>
      <c r="J35" s="83"/>
      <c r="K35" s="83"/>
    </row>
    <row r="36" spans="2:11">
      <c r="B36" s="53"/>
      <c r="C36" s="53" t="s">
        <v>82</v>
      </c>
      <c r="D36" s="53" t="s">
        <v>194</v>
      </c>
      <c r="E36" s="53" t="s">
        <v>195</v>
      </c>
      <c r="F36" s="53" t="s">
        <v>196</v>
      </c>
      <c r="G36" s="53" t="s">
        <v>197</v>
      </c>
      <c r="H36" s="53" t="s">
        <v>198</v>
      </c>
      <c r="I36" s="53" t="s">
        <v>199</v>
      </c>
      <c r="J36" s="53" t="s">
        <v>200</v>
      </c>
      <c r="K36" s="53" t="s">
        <v>201</v>
      </c>
    </row>
    <row r="37" spans="2:11">
      <c r="B37" s="64" t="s">
        <v>138</v>
      </c>
      <c r="C37" s="54">
        <v>1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1</v>
      </c>
      <c r="K37" s="55">
        <f>SUM(D37:J37)</f>
        <v>1</v>
      </c>
    </row>
    <row r="38" spans="2:11">
      <c r="B38" s="64" t="s">
        <v>140</v>
      </c>
      <c r="C38" s="54">
        <v>2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1</v>
      </c>
      <c r="J38" s="64">
        <v>1</v>
      </c>
      <c r="K38" s="55">
        <f t="shared" ref="K38:K40" si="2">SUM(D38:J38)</f>
        <v>2</v>
      </c>
    </row>
    <row r="39" spans="2:11">
      <c r="B39" s="64" t="s">
        <v>142</v>
      </c>
      <c r="C39" s="54">
        <v>1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1</v>
      </c>
      <c r="J39" s="64">
        <v>0</v>
      </c>
      <c r="K39" s="55">
        <f t="shared" si="2"/>
        <v>1</v>
      </c>
    </row>
    <row r="40" spans="2:11" ht="12.75">
      <c r="B40" s="64" t="s">
        <v>144</v>
      </c>
      <c r="C40" s="54">
        <v>1</v>
      </c>
      <c r="D40" s="64">
        <v>0</v>
      </c>
      <c r="E40" s="64">
        <v>0</v>
      </c>
      <c r="F40" s="64">
        <v>0</v>
      </c>
      <c r="G40" s="64">
        <v>0</v>
      </c>
      <c r="H40" s="64">
        <v>1</v>
      </c>
      <c r="I40" s="64">
        <v>0</v>
      </c>
      <c r="J40" s="64">
        <v>0</v>
      </c>
      <c r="K40" s="55">
        <f t="shared" si="2"/>
        <v>1</v>
      </c>
    </row>
    <row r="41" spans="2:11">
      <c r="B41" s="56" t="s">
        <v>202</v>
      </c>
      <c r="C41" s="53">
        <f t="shared" ref="C41:J41" si="3">SUM(C37:C39)</f>
        <v>4</v>
      </c>
      <c r="D41" s="53">
        <f t="shared" si="3"/>
        <v>0</v>
      </c>
      <c r="E41" s="53">
        <f t="shared" si="3"/>
        <v>0</v>
      </c>
      <c r="F41" s="53">
        <f t="shared" si="3"/>
        <v>0</v>
      </c>
      <c r="G41" s="53">
        <f t="shared" si="3"/>
        <v>0</v>
      </c>
      <c r="H41" s="53">
        <f t="shared" si="3"/>
        <v>0</v>
      </c>
      <c r="I41" s="53">
        <f t="shared" si="3"/>
        <v>2</v>
      </c>
      <c r="J41" s="53">
        <f t="shared" si="3"/>
        <v>2</v>
      </c>
      <c r="K41" s="57"/>
    </row>
    <row r="42" spans="2:11">
      <c r="B42" s="56" t="s">
        <v>203</v>
      </c>
      <c r="C42" s="53">
        <f>SUM(C37:C39)</f>
        <v>4</v>
      </c>
      <c r="D42" s="53">
        <f>C42-(SUM(C37:C39)/7)</f>
        <v>3.4285714285714288</v>
      </c>
      <c r="E42" s="53">
        <f>D42-(SUM(C37:C39)/7)</f>
        <v>2.8571428571428577</v>
      </c>
      <c r="F42" s="53">
        <f>E42-(SUM(C37:C39)/7)</f>
        <v>2.2857142857142865</v>
      </c>
      <c r="G42" s="53">
        <f>F42-(SUM(C37:C39)/7)</f>
        <v>1.7142857142857151</v>
      </c>
      <c r="H42" s="53">
        <f>G42-(SUM(C37:C39)/7)</f>
        <v>1.1428571428571437</v>
      </c>
      <c r="I42" s="53">
        <f>H42-(SUM(C37:C39)/7)</f>
        <v>0.57142857142857229</v>
      </c>
      <c r="J42" s="53">
        <f>I42-(SUM(C37:C39)/7)</f>
        <v>8.8817841970012523E-16</v>
      </c>
      <c r="K42" s="57"/>
    </row>
    <row r="67" spans="2:11">
      <c r="B67" s="83" t="s">
        <v>217</v>
      </c>
      <c r="C67" s="83"/>
      <c r="D67" s="83"/>
      <c r="E67" s="83"/>
      <c r="F67" s="83"/>
      <c r="G67" s="83"/>
      <c r="H67" s="83"/>
      <c r="I67" s="83"/>
      <c r="J67" s="83"/>
      <c r="K67" s="83"/>
    </row>
    <row r="68" spans="2:11">
      <c r="B68" s="53"/>
      <c r="C68" s="53" t="s">
        <v>82</v>
      </c>
      <c r="D68" s="53" t="s">
        <v>194</v>
      </c>
      <c r="E68" s="53" t="s">
        <v>195</v>
      </c>
      <c r="F68" s="53" t="s">
        <v>196</v>
      </c>
      <c r="G68" s="53" t="s">
        <v>197</v>
      </c>
      <c r="H68" s="53" t="s">
        <v>198</v>
      </c>
      <c r="I68" s="53" t="s">
        <v>199</v>
      </c>
      <c r="J68" s="53" t="s">
        <v>200</v>
      </c>
      <c r="K68" s="53" t="s">
        <v>201</v>
      </c>
    </row>
    <row r="69" spans="2:11">
      <c r="B69" s="64" t="s">
        <v>146</v>
      </c>
      <c r="C69" s="54">
        <v>3</v>
      </c>
      <c r="D69" s="64">
        <v>0</v>
      </c>
      <c r="E69" s="64">
        <v>0</v>
      </c>
      <c r="F69" s="64">
        <v>0</v>
      </c>
      <c r="G69" s="64">
        <v>1</v>
      </c>
      <c r="H69" s="64">
        <v>0</v>
      </c>
      <c r="I69" s="64">
        <v>0</v>
      </c>
      <c r="J69" s="64">
        <v>0</v>
      </c>
      <c r="K69" s="55">
        <f>SUM(D69:J69)</f>
        <v>1</v>
      </c>
    </row>
    <row r="70" spans="2:11">
      <c r="B70" s="64" t="s">
        <v>148</v>
      </c>
      <c r="C70" s="54">
        <v>4</v>
      </c>
      <c r="D70" s="64">
        <v>0</v>
      </c>
      <c r="E70" s="64">
        <v>0</v>
      </c>
      <c r="F70" s="64">
        <v>0</v>
      </c>
      <c r="G70" s="64">
        <v>1</v>
      </c>
      <c r="H70" s="64">
        <v>0</v>
      </c>
      <c r="I70" s="64">
        <v>0</v>
      </c>
      <c r="J70" s="64">
        <v>0</v>
      </c>
      <c r="K70" s="55">
        <f t="shared" ref="K70:K73" si="4">SUM(D70:J70)</f>
        <v>1</v>
      </c>
    </row>
    <row r="71" spans="2:11">
      <c r="B71" s="64" t="s">
        <v>150</v>
      </c>
      <c r="C71" s="54">
        <v>1.5</v>
      </c>
      <c r="D71" s="64">
        <v>0</v>
      </c>
      <c r="E71" s="64">
        <v>0</v>
      </c>
      <c r="F71" s="64">
        <v>0.5</v>
      </c>
      <c r="G71" s="64">
        <v>1</v>
      </c>
      <c r="H71" s="64">
        <v>0</v>
      </c>
      <c r="I71" s="64">
        <v>0</v>
      </c>
      <c r="J71" s="64">
        <v>0</v>
      </c>
      <c r="K71" s="55">
        <f t="shared" si="4"/>
        <v>1.5</v>
      </c>
    </row>
    <row r="72" spans="2:11">
      <c r="B72" s="64" t="s">
        <v>152</v>
      </c>
      <c r="C72" s="54">
        <v>2.5</v>
      </c>
      <c r="D72" s="64">
        <v>0</v>
      </c>
      <c r="E72" s="64">
        <v>0.5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55">
        <f t="shared" si="4"/>
        <v>0.5</v>
      </c>
    </row>
    <row r="73" spans="2:11">
      <c r="B73" s="64" t="s">
        <v>154</v>
      </c>
      <c r="C73" s="54">
        <v>0.5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55">
        <f t="shared" si="4"/>
        <v>0</v>
      </c>
    </row>
    <row r="74" spans="2:11">
      <c r="B74" s="56" t="s">
        <v>202</v>
      </c>
      <c r="C74" s="53">
        <f t="shared" ref="C74:J74" si="5">SUM(C69:C73)</f>
        <v>11.5</v>
      </c>
      <c r="D74" s="53">
        <f t="shared" si="5"/>
        <v>0</v>
      </c>
      <c r="E74" s="53">
        <f t="shared" si="5"/>
        <v>0.5</v>
      </c>
      <c r="F74" s="53">
        <f t="shared" si="5"/>
        <v>0.5</v>
      </c>
      <c r="G74" s="53">
        <f t="shared" si="5"/>
        <v>3</v>
      </c>
      <c r="H74" s="53">
        <f t="shared" si="5"/>
        <v>0</v>
      </c>
      <c r="I74" s="53">
        <f t="shared" si="5"/>
        <v>0</v>
      </c>
      <c r="J74" s="53">
        <f t="shared" si="5"/>
        <v>0</v>
      </c>
      <c r="K74" s="57"/>
    </row>
    <row r="75" spans="2:11">
      <c r="B75" s="56" t="s">
        <v>203</v>
      </c>
      <c r="C75" s="53">
        <f>SUM(C69:C73)</f>
        <v>11.5</v>
      </c>
      <c r="D75" s="53">
        <f>C75-(SUM(C69:C73)/7)</f>
        <v>9.8571428571428577</v>
      </c>
      <c r="E75" s="53">
        <f>D75-(SUM(C69:C73)/7)</f>
        <v>8.2142857142857153</v>
      </c>
      <c r="F75" s="53">
        <f>E75-(SUM(C69:C73)/7)</f>
        <v>6.571428571428573</v>
      </c>
      <c r="G75" s="53">
        <f>F75-(SUM(C69:C73)/7)</f>
        <v>4.9285714285714306</v>
      </c>
      <c r="H75" s="53">
        <f>G75-(SUM(C69:C73)/7)</f>
        <v>3.2857142857142878</v>
      </c>
      <c r="I75" s="53">
        <f>H75-(SUM(C69:C73)/7)</f>
        <v>1.642857142857145</v>
      </c>
      <c r="J75" s="53">
        <f>I75-(SUM(C69:C73)/7)</f>
        <v>2.2204460492503131E-15</v>
      </c>
      <c r="K75" s="57"/>
    </row>
    <row r="100" spans="2:11">
      <c r="B100" s="83" t="s">
        <v>218</v>
      </c>
      <c r="C100" s="83"/>
      <c r="D100" s="83"/>
      <c r="E100" s="83"/>
      <c r="F100" s="83"/>
      <c r="G100" s="83"/>
      <c r="H100" s="83"/>
      <c r="I100" s="83"/>
      <c r="J100" s="83"/>
      <c r="K100" s="83"/>
    </row>
    <row r="101" spans="2:11">
      <c r="B101" s="53"/>
      <c r="C101" s="53" t="s">
        <v>82</v>
      </c>
      <c r="D101" s="53" t="s">
        <v>194</v>
      </c>
      <c r="E101" s="53" t="s">
        <v>195</v>
      </c>
      <c r="F101" s="53" t="s">
        <v>196</v>
      </c>
      <c r="G101" s="53" t="s">
        <v>197</v>
      </c>
      <c r="H101" s="53" t="s">
        <v>198</v>
      </c>
      <c r="I101" s="53" t="s">
        <v>199</v>
      </c>
      <c r="J101" s="53" t="s">
        <v>200</v>
      </c>
      <c r="K101" s="53" t="s">
        <v>201</v>
      </c>
    </row>
    <row r="102" spans="2:11">
      <c r="B102" s="64" t="s">
        <v>157</v>
      </c>
      <c r="C102" s="54">
        <v>2</v>
      </c>
      <c r="D102" s="64">
        <v>0</v>
      </c>
      <c r="E102" s="64">
        <v>0</v>
      </c>
      <c r="F102" s="64">
        <v>0</v>
      </c>
      <c r="G102" s="64">
        <v>0</v>
      </c>
      <c r="H102" s="64">
        <v>1</v>
      </c>
      <c r="I102" s="64">
        <v>0</v>
      </c>
      <c r="J102" s="64">
        <v>1</v>
      </c>
      <c r="K102" s="55">
        <f>SUM(D102:J102)</f>
        <v>2</v>
      </c>
    </row>
    <row r="103" spans="2:11">
      <c r="B103" s="64" t="s">
        <v>160</v>
      </c>
      <c r="C103" s="54">
        <v>2</v>
      </c>
      <c r="D103" s="64">
        <v>0</v>
      </c>
      <c r="E103" s="64">
        <v>0</v>
      </c>
      <c r="F103" s="64">
        <v>0</v>
      </c>
      <c r="G103" s="64">
        <v>1</v>
      </c>
      <c r="H103" s="64">
        <v>0</v>
      </c>
      <c r="I103" s="64">
        <v>1</v>
      </c>
      <c r="J103" s="64">
        <v>0</v>
      </c>
      <c r="K103" s="55">
        <f t="shared" ref="K103:K104" si="6">SUM(D103:J103)</f>
        <v>2</v>
      </c>
    </row>
    <row r="104" spans="2:11">
      <c r="B104" s="64" t="s">
        <v>162</v>
      </c>
      <c r="C104" s="54">
        <v>3</v>
      </c>
      <c r="D104" s="64">
        <v>1</v>
      </c>
      <c r="E104" s="64">
        <v>1</v>
      </c>
      <c r="F104" s="64">
        <v>1</v>
      </c>
      <c r="G104" s="64">
        <v>0</v>
      </c>
      <c r="H104" s="64">
        <v>0</v>
      </c>
      <c r="I104" s="64">
        <v>0</v>
      </c>
      <c r="J104" s="64">
        <v>0</v>
      </c>
      <c r="K104" s="55">
        <f t="shared" si="6"/>
        <v>3</v>
      </c>
    </row>
    <row r="105" spans="2:11">
      <c r="B105" s="56" t="s">
        <v>202</v>
      </c>
      <c r="C105" s="53">
        <f>SUM(C102:C104)</f>
        <v>7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f>SUM(J102:J104)</f>
        <v>1</v>
      </c>
      <c r="K105" s="57"/>
    </row>
    <row r="106" spans="2:11">
      <c r="B106" s="56" t="s">
        <v>203</v>
      </c>
      <c r="C106" s="53">
        <f>SUM(C102:C104)</f>
        <v>7</v>
      </c>
      <c r="D106" s="53">
        <f>C106-(SUM(C102:C104)/7)</f>
        <v>6</v>
      </c>
      <c r="E106" s="53">
        <f>D106-(SUM(C102:C104)/7)</f>
        <v>5</v>
      </c>
      <c r="F106" s="53">
        <f>E106-(SUM(C102:C104)/7)</f>
        <v>4</v>
      </c>
      <c r="G106" s="53">
        <f>F106-(SUM(C102:C104)/7)</f>
        <v>3</v>
      </c>
      <c r="H106" s="53">
        <f>G106-(SUM(C102:C104)/7)</f>
        <v>2</v>
      </c>
      <c r="I106" s="53">
        <f>H106-(SUM(C102:C104)/7)</f>
        <v>1</v>
      </c>
      <c r="J106" s="53">
        <f>I106-(SUM(C102:C104)/7)</f>
        <v>0</v>
      </c>
      <c r="K106" s="57"/>
    </row>
    <row r="107" spans="2:11" ht="12.75"/>
  </sheetData>
  <mergeCells count="4">
    <mergeCell ref="B3:K3"/>
    <mergeCell ref="B35:K35"/>
    <mergeCell ref="B67:K67"/>
    <mergeCell ref="B100:K100"/>
  </mergeCells>
  <phoneticPr fontId="1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9ddb34-41ff-484e-bc06-3da676159b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97100502FEFD4C891B0A1FD3F42BFE" ma:contentTypeVersion="6" ma:contentTypeDescription="Crear nuevo documento." ma:contentTypeScope="" ma:versionID="f54b88654a1fab2e9b388da4570d1358">
  <xsd:schema xmlns:xsd="http://www.w3.org/2001/XMLSchema" xmlns:xs="http://www.w3.org/2001/XMLSchema" xmlns:p="http://schemas.microsoft.com/office/2006/metadata/properties" xmlns:ns3="ce9ddb34-41ff-484e-bc06-3da676159bd7" targetNamespace="http://schemas.microsoft.com/office/2006/metadata/properties" ma:root="true" ma:fieldsID="f4ec76f31255b15a09b8398554e72220" ns3:_="">
    <xsd:import namespace="ce9ddb34-41ff-484e-bc06-3da676159b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ddb34-41ff-484e-bc06-3da676159b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698563-C61F-49F8-82C4-FFA212132BF8}"/>
</file>

<file path=customXml/itemProps2.xml><?xml version="1.0" encoding="utf-8"?>
<ds:datastoreItem xmlns:ds="http://schemas.openxmlformats.org/officeDocument/2006/customXml" ds:itemID="{0073A36B-C018-492F-903E-9EF463272C2E}"/>
</file>

<file path=customXml/itemProps3.xml><?xml version="1.0" encoding="utf-8"?>
<ds:datastoreItem xmlns:ds="http://schemas.openxmlformats.org/officeDocument/2006/customXml" ds:itemID="{11CB9AFB-86D5-4F77-9A34-5827DA6B7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2023-01-13T00:08:30Z</dcterms:created>
  <dcterms:modified xsi:type="dcterms:W3CDTF">2026-07-03T15:57:36Z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0x010100FE97100502FEFD4C891B0A1FD3F42BFE</vt:lpwstr>
  </property>
</Properties>
</file>