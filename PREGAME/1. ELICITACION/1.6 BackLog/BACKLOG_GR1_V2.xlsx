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steban\Documents\Documentos\PREGRADO SI-ABR26-AGO26\MDSW\30693_MDS_G1\PREGAME\1. ELICITACION\1.6 BackLog\"/>
    </mc:Choice>
  </mc:AlternateContent>
  <xr:revisionPtr revIDLastSave="0" documentId="13_ncr:1_{7F28F5F7-D637-4776-A8FB-3CC1685288C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cklog" sheetId="1" r:id="rId1"/>
    <sheet name="Sprint" sheetId="2" r:id="rId2"/>
    <sheet name="burdonchart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D10" i="3" s="1"/>
  <c r="E10" i="3" s="1"/>
  <c r="F10" i="3" s="1"/>
  <c r="G10" i="3" s="1"/>
  <c r="H10" i="3" s="1"/>
  <c r="I10" i="3" s="1"/>
  <c r="J10" i="3" s="1"/>
  <c r="C9" i="3"/>
  <c r="D9" i="3" s="1"/>
  <c r="E9" i="3" s="1"/>
  <c r="F9" i="3" s="1"/>
  <c r="G9" i="3" s="1"/>
  <c r="H9" i="3" s="1"/>
  <c r="I9" i="3" s="1"/>
  <c r="J9" i="3" s="1"/>
</calcChain>
</file>

<file path=xl/sharedStrings.xml><?xml version="1.0" encoding="utf-8"?>
<sst xmlns="http://schemas.openxmlformats.org/spreadsheetml/2006/main" count="328" uniqueCount="166">
  <si>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</si>
  <si>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</si>
  <si>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</si>
  <si>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</si>
  <si>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</si>
  <si>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</si>
  <si>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</si>
  <si>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</si>
  <si>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</si>
  <si>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</si>
  <si>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</si>
  <si>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</si>
  <si>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</si>
  <si>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</si>
  <si>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</si>
  <si>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>No iniciado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</si>
  <si>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</si>
  <si>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</si>
  <si>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</si>
  <si>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</si>
  <si>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</si>
  <si>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>Registro de Clientes</t>
  </si>
  <si>
    <t>Ingresar la informacion necesaria de cada cliente (Cedula, Nombre,etc)</t>
  </si>
  <si>
    <t>Identificar correctamente a los compradores y su zonas de entregas</t>
  </si>
  <si>
    <t>REQ004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</si>
  <si>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</si>
  <si>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</si>
  <si>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</si>
  <si>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REQ005</t>
  </si>
  <si>
    <t>Gestión de clientes inactivos</t>
  </si>
  <si>
    <t>Eliminar clientes que no esten activos o se encuentren duplicados</t>
  </si>
  <si>
    <t>Mantener un listado de clientes activos sin perder el historial de ventas</t>
  </si>
  <si>
    <t>REQ006</t>
  </si>
  <si>
    <t>Registro Clientes Potenciales</t>
  </si>
  <si>
    <t>Registrar personas interesadas en los productos</t>
  </si>
  <si>
    <t>Llevar un seguimiento organizado de posibles compradores</t>
  </si>
  <si>
    <t>REQ007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</si>
  <si>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</si>
  <si>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</si>
  <si>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</si>
  <si>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REQ008</t>
  </si>
  <si>
    <t xml:space="preserve">Registros de Ventas </t>
  </si>
  <si>
    <t>Registrar las ventas realizadas en el sistema.</t>
  </si>
  <si>
    <t>Conocer la ganancia del dia y obtener los productos vendidos</t>
  </si>
  <si>
    <t>REQ009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</si>
  <si>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</si>
  <si>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</si>
  <si>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</si>
  <si>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REQ010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</si>
  <si>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</si>
  <si>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</si>
  <si>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</si>
  <si>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SPRINT 1</t>
  </si>
  <si>
    <t>Navegacion y Registro de Productos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</si>
  <si>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</si>
  <si>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</si>
  <si>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</si>
  <si>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</si>
  <si>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</si>
  <si>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</si>
  <si>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</si>
  <si>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</si>
  <si>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No iniciada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</si>
  <si>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</si>
  <si>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</si>
  <si>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</si>
  <si>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</si>
  <si>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</si>
  <si>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</si>
  <si>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</si>
  <si>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</si>
  <si>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</si>
  <si>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</si>
  <si>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</si>
  <si>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</si>
  <si>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</si>
  <si>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</si>
  <si>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Registros de Productos</t>
  </si>
  <si>
    <t>REQ002-1</t>
  </si>
  <si>
    <t>Diseñar formulario de registro de Productos</t>
  </si>
  <si>
    <t>Johan Catota</t>
  </si>
  <si>
    <t>REQ002-2</t>
  </si>
  <si>
    <t>REQ002-3</t>
  </si>
  <si>
    <t xml:space="preserve">Diseñar tabla visual del catalogo </t>
  </si>
  <si>
    <t>REQ002-4</t>
  </si>
  <si>
    <t xml:space="preserve">Programacion de Logica de Guardado </t>
  </si>
  <si>
    <t>SPRINT 2</t>
  </si>
  <si>
    <t>CRUD CLIENTES</t>
  </si>
  <si>
    <t>Registros de Cliente</t>
  </si>
  <si>
    <t>Ingresar los informacion necesaria de cada cliente (Cedula, Nombre,etc)</t>
  </si>
  <si>
    <t>Identificar correctamente a los compradores y su zona de entregas</t>
  </si>
  <si>
    <t>REQ003-1</t>
  </si>
  <si>
    <t>Programación de Validaciones de Entrada de Datos.</t>
  </si>
  <si>
    <t>REQ003-2</t>
  </si>
  <si>
    <t>Implementación del Algoritmo de ID Autogenerado.</t>
  </si>
  <si>
    <t>REQ003-3</t>
  </si>
  <si>
    <t>Configuración de Persistencia e Inserción en Base de Datos.</t>
  </si>
  <si>
    <t>REQ003-4</t>
  </si>
  <si>
    <t>Programación del Refresco Dinámico de Listas.</t>
  </si>
  <si>
    <t>Actualizacion de informacion de Clientes</t>
  </si>
  <si>
    <t>REQ004-1</t>
  </si>
  <si>
    <t>Conexión de la GUI con los metodos para la modificacion</t>
  </si>
  <si>
    <t>Eatan Ayala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</si>
  <si>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</si>
  <si>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</si>
  <si>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</si>
  <si>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</si>
  <si>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</si>
  <si>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</si>
  <si>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 xml:space="preserve">Tareas </t>
  </si>
  <si>
    <t>REQ005-1</t>
  </si>
  <si>
    <t>Añadir un botón visual de "Eliminar" directamente en la fila correspondiente dentro del listado o tabla de clientes activos</t>
  </si>
  <si>
    <t>REQ005-2</t>
  </si>
  <si>
    <t>Programar una ventana/alerta emergente de confirmación que le pregunte al administrador si está seguro de realizar la acción antes de ejecutar el borrado</t>
  </si>
  <si>
    <t>REQ005-3</t>
  </si>
  <si>
    <t>Modificar la base de datos para que al confirmar, el estado del cliente cambie a "Inactivo" (borrado lógico), asegurando que desaparezca de la vista activa de ventas pero conserve su historial de transacciones.</t>
  </si>
  <si>
    <t>SPRINT 3</t>
  </si>
  <si>
    <t>REQ006-1</t>
  </si>
  <si>
    <t xml:space="preserve">Conexión de la GUI con los metodos para el ingreso de datos </t>
  </si>
  <si>
    <t>REQ006-2</t>
  </si>
  <si>
    <t>Ingreso de datos para un posible cliente dependiendo el campo</t>
  </si>
  <si>
    <t>REQ006-3</t>
  </si>
  <si>
    <t>Asignacion del estado de "Posible Cliente"</t>
  </si>
  <si>
    <t>REQ006-4</t>
  </si>
  <si>
    <t>Insertar en la base de datos el cliente registrado</t>
  </si>
  <si>
    <t>REQ007-1</t>
  </si>
  <si>
    <t>Implementar el buscador de usuarios en el sistema y programar la función para cargar sus datos actuales en la pantalla de edición</t>
  </si>
  <si>
    <t>REQ007-2</t>
  </si>
  <si>
    <t>Habilitar los campos del formulario para su modificación y desarrollar la lógica del botón que permite cambiar el estado del prospecto</t>
  </si>
  <si>
    <t>REQ007-3</t>
  </si>
  <si>
    <t>Programar la persistencia de datos en la base de datos para guardar de forma exitosa las modificaciones del contacto potencial.</t>
  </si>
  <si>
    <t>REQ008-1</t>
  </si>
  <si>
    <t>Diseñar formulario de ventas</t>
  </si>
  <si>
    <t>REQ008-2</t>
  </si>
  <si>
    <t xml:space="preserve">Enlazar dropdown dinamico de productos </t>
  </si>
  <si>
    <t>REQ008-3</t>
  </si>
  <si>
    <t xml:space="preserve">Programacion Calculo automatico </t>
  </si>
  <si>
    <t>REQ008-4</t>
  </si>
  <si>
    <t>Programacion Guardar y registrar venta</t>
  </si>
  <si>
    <t>Generacion de Comprobantes</t>
  </si>
  <si>
    <t>REQ009-1</t>
  </si>
  <si>
    <t>Desarrollar el diseño y la estructura visual de la plantilla de impresión correspondiente a la nota de venta</t>
  </si>
  <si>
    <t>REQ009-2</t>
  </si>
  <si>
    <t>Mapear e integrar dinámicamente los datos de la transacción finalizada: información del cliente, productos y las variantes exactas compradas</t>
  </si>
  <si>
    <t>REQ009-3</t>
  </si>
  <si>
    <t>Programar el backend y la lógica del botón para compilar, exportar y generar el documento final listo en formato PDF</t>
  </si>
  <si>
    <t>Evaluar la rentabilidad del negocio y el ranking de productos más vendidos mediante reportes ágiles.</t>
  </si>
  <si>
    <t>REQ0010-1</t>
  </si>
  <si>
    <t>Diseñar formulario de reportes</t>
  </si>
  <si>
    <t>REQ0010-2</t>
  </si>
  <si>
    <t xml:space="preserve">Programar filtros y consultas </t>
  </si>
  <si>
    <t>REQ0010-3</t>
  </si>
  <si>
    <t xml:space="preserve">Diseñar estructura de exportacion Excel </t>
  </si>
  <si>
    <t>REQ0010-4</t>
  </si>
  <si>
    <t xml:space="preserve">Generar graficos dinamicos automaticos </t>
  </si>
  <si>
    <t>Katerine Caizaluisa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</si>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</sst>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sz val="10"/>
      <color theme="4"/>
      <name val="Arial"/>
      <scheme val="minor"/>
    </font>
    <font>
      <sz val="10"/>
      <color rgb="FF000000"/>
      <name val="Arial"/>
      <scheme val="minor"/>
    </font>
    <font>
      <sz val="11"/>
      <color rgb="FF000000"/>
      <name val="Inconsolata"/>
    </font>
    <font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1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 vertical="top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0" fontId="0" fillId="3" borderId="0" xfId="0" applyFill="1"/>
    <xf numFmtId="0" fontId="8" fillId="3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textRotation="90"/>
    </xf>
    <xf numFmtId="0" fontId="11" fillId="0" borderId="1" xfId="1"/>
    <xf numFmtId="0" fontId="2" fillId="0" borderId="1" xfId="1" applyFont="1"/>
    <xf numFmtId="0" fontId="11" fillId="4" borderId="1" xfId="1" applyFill="1"/>
    <xf numFmtId="0" fontId="11" fillId="5" borderId="1" xfId="1" applyFill="1"/>
    <xf numFmtId="0" fontId="2" fillId="6" borderId="4" xfId="1" applyFont="1" applyFill="1" applyBorder="1"/>
    <xf numFmtId="0" fontId="2" fillId="0" borderId="4" xfId="1" applyFont="1" applyBorder="1"/>
    <xf numFmtId="0" fontId="12" fillId="7" borderId="4" xfId="1" applyFont="1" applyFill="1" applyBorder="1"/>
    <xf numFmtId="0" fontId="13" fillId="0" borderId="1" xfId="1" applyFont="1" applyAlignment="1">
      <alignment horizontal="left" vertical="center" wrapText="1"/>
    </xf>
  </cellXfs>
  <cellStyles count="2">
    <cellStyle name="Normal" xfId="0" builtinId="0"/>
    <cellStyle name="Normal 2" xfId="1" xr:uid="{27F413C8-0966-4A49-84BA-E7F5075EB20D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F-4DB7-87C6-9E08B9664CAE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9.4285714285714288</c:v>
                </c:pt>
                <c:pt idx="3">
                  <c:v>7.8571428571428577</c:v>
                </c:pt>
                <c:pt idx="4">
                  <c:v>6.2857142857142865</c:v>
                </c:pt>
                <c:pt idx="5">
                  <c:v>4.7142857142857153</c:v>
                </c:pt>
                <c:pt idx="6">
                  <c:v>3.1428571428571441</c:v>
                </c:pt>
                <c:pt idx="7">
                  <c:v>1.5714285714285727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F-4DB7-87C6-9E08B966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EEF0C3E-7660-4A7B-ACCC-70DD1324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Downloads/Plantilla%20Backlog%20MDSW(3).xlsx" TargetMode="External"/><Relationship Id="rId2" Type="http://schemas.openxmlformats.org/officeDocument/2006/relationships/externalLinkPath" Target="file:///C:\Users\Esteban\Downloads\Plantilla%20Backlog%20MDSW(3).xlsx" TargetMode="External"/><Relationship Id="rId1" Type="http://schemas.openxmlformats.org/officeDocument/2006/relationships/externalLinkPath" Target="/Users/Esteban/Downloads/Plantilla%20Backlog%20MDSW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cklog"/>
      <sheetName val="sprint2"/>
      <sheetName val="burdonchart"/>
    </sheetNames>
    <sheetDataSet>
      <sheetData sheetId="0" refreshError="1"/>
      <sheetData sheetId="1" refreshError="1"/>
      <sheetData sheetId="2">
        <row r="9">
          <cell r="B9" t="str">
            <v>Horas Estimadas</v>
          </cell>
          <cell r="C9">
            <v>11</v>
          </cell>
          <cell r="D9">
            <v>8</v>
          </cell>
          <cell r="E9">
            <v>6</v>
          </cell>
          <cell r="F9">
            <v>4</v>
          </cell>
          <cell r="G9">
            <v>3</v>
          </cell>
          <cell r="H9">
            <v>3</v>
          </cell>
          <cell r="I9">
            <v>1</v>
          </cell>
          <cell r="J9">
            <v>0</v>
          </cell>
        </row>
        <row r="10">
          <cell r="B10" t="str">
            <v>Horas Estimadas
Restantes</v>
          </cell>
          <cell r="C10">
            <v>11</v>
          </cell>
          <cell r="D10">
            <v>9.4285714285714288</v>
          </cell>
          <cell r="E10">
            <v>7.8571428571428577</v>
          </cell>
          <cell r="F10">
            <v>6.2857142857142865</v>
          </cell>
          <cell r="G10">
            <v>4.7142857142857153</v>
          </cell>
          <cell r="H10">
            <v>3.1428571428571441</v>
          </cell>
          <cell r="I10">
            <v>1.5714285714285727</v>
          </cell>
          <cell r="J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opLeftCell="B1" zoomScale="118" zoomScaleNormal="80" workbookViewId="0">
      <selection activeCell="A11" sqref="A11:H11"/>
    </sheetView>
  </sheetViews>
  <sheetFormatPr baseColWidth="10" defaultColWidth="12.54296875" defaultRowHeight="15" customHeight="1" x14ac:dyDescent="0.25"/>
  <cols>
    <col min="1" max="1" width="12.54296875" customWidth="1"/>
    <col min="2" max="2" width="34.81640625" bestFit="1" customWidth="1"/>
    <col min="3" max="3" width="19.7265625" customWidth="1"/>
    <col min="4" max="4" width="65" customWidth="1"/>
    <col min="5" max="5" width="45.54296875" customWidth="1"/>
    <col min="6" max="6" width="12.54296875" customWidth="1"/>
  </cols>
  <sheetData>
    <row r="1" spans="1:9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9" ht="20.149999999999999" customHeight="1" x14ac:dyDescent="0.25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12" t="s">
        <v>13</v>
      </c>
      <c r="G2" s="9" t="s">
        <v>14</v>
      </c>
      <c r="H2" s="9" t="s">
        <v>15</v>
      </c>
      <c r="I2" s="7"/>
    </row>
    <row r="3" spans="1:9" ht="20.149999999999999" customHeight="1" x14ac:dyDescent="0.25">
      <c r="A3" s="9" t="s">
        <v>16</v>
      </c>
      <c r="B3" s="9" t="s">
        <v>17</v>
      </c>
      <c r="C3" s="9" t="s">
        <v>10</v>
      </c>
      <c r="D3" s="9" t="s">
        <v>18</v>
      </c>
      <c r="E3" s="9" t="s">
        <v>19</v>
      </c>
      <c r="F3" s="12" t="s">
        <v>13</v>
      </c>
      <c r="G3" s="9" t="s">
        <v>14</v>
      </c>
      <c r="H3" s="9" t="s">
        <v>15</v>
      </c>
      <c r="I3" s="7"/>
    </row>
    <row r="4" spans="1:9" ht="20.149999999999999" customHeight="1" x14ac:dyDescent="0.25">
      <c r="A4" s="9" t="s">
        <v>20</v>
      </c>
      <c r="B4" s="9" t="s">
        <v>21</v>
      </c>
      <c r="C4" s="9" t="s">
        <v>10</v>
      </c>
      <c r="D4" s="9" t="s">
        <v>22</v>
      </c>
      <c r="E4" s="9" t="s">
        <v>23</v>
      </c>
      <c r="F4" s="12" t="s">
        <v>13</v>
      </c>
      <c r="G4" s="9" t="s">
        <v>14</v>
      </c>
      <c r="H4" s="9" t="s">
        <v>15</v>
      </c>
      <c r="I4" s="7"/>
    </row>
    <row r="5" spans="1:9" ht="20.149999999999999" customHeight="1" x14ac:dyDescent="0.25">
      <c r="A5" s="9" t="s">
        <v>24</v>
      </c>
      <c r="B5" s="9" t="s">
        <v>25</v>
      </c>
      <c r="C5" s="9" t="s">
        <v>10</v>
      </c>
      <c r="D5" s="9" t="s">
        <v>26</v>
      </c>
      <c r="E5" s="9" t="s">
        <v>27</v>
      </c>
      <c r="F5" s="12" t="s">
        <v>13</v>
      </c>
      <c r="G5" s="9" t="s">
        <v>14</v>
      </c>
      <c r="H5" s="9" t="s">
        <v>15</v>
      </c>
      <c r="I5" s="7"/>
    </row>
    <row r="6" spans="1:9" ht="20.149999999999999" customHeight="1" x14ac:dyDescent="0.25">
      <c r="A6" s="9" t="s">
        <v>28</v>
      </c>
      <c r="B6" s="9" t="s">
        <v>29</v>
      </c>
      <c r="C6" s="9" t="s">
        <v>10</v>
      </c>
      <c r="D6" s="9" t="s">
        <v>30</v>
      </c>
      <c r="E6" s="9" t="s">
        <v>31</v>
      </c>
      <c r="F6" s="12" t="s">
        <v>13</v>
      </c>
      <c r="G6" s="9" t="s">
        <v>14</v>
      </c>
      <c r="H6" s="9" t="s">
        <v>15</v>
      </c>
    </row>
    <row r="7" spans="1:9" ht="20.149999999999999" customHeight="1" x14ac:dyDescent="0.25">
      <c r="A7" s="9" t="s">
        <v>32</v>
      </c>
      <c r="B7" s="9" t="s">
        <v>33</v>
      </c>
      <c r="C7" s="9" t="s">
        <v>10</v>
      </c>
      <c r="D7" s="9" t="s">
        <v>34</v>
      </c>
      <c r="E7" s="9" t="s">
        <v>35</v>
      </c>
      <c r="F7" s="12" t="s">
        <v>13</v>
      </c>
      <c r="G7" s="9" t="s">
        <v>14</v>
      </c>
      <c r="H7" s="9" t="s">
        <v>15</v>
      </c>
      <c r="I7" s="7"/>
    </row>
    <row r="8" spans="1:9" ht="20.149999999999999" customHeight="1" x14ac:dyDescent="0.25">
      <c r="A8" s="9" t="s">
        <v>36</v>
      </c>
      <c r="B8" s="9" t="s">
        <v>37</v>
      </c>
      <c r="C8" s="9" t="s">
        <v>10</v>
      </c>
      <c r="D8" s="9" t="s">
        <v>38</v>
      </c>
      <c r="E8" s="9" t="s">
        <v>39</v>
      </c>
      <c r="F8" s="12" t="s">
        <v>13</v>
      </c>
      <c r="G8" s="9" t="s">
        <v>14</v>
      </c>
      <c r="H8" s="9" t="s">
        <v>15</v>
      </c>
    </row>
    <row r="9" spans="1:9" ht="20.149999999999999" customHeight="1" x14ac:dyDescent="0.25">
      <c r="A9" s="9" t="s">
        <v>40</v>
      </c>
      <c r="B9" s="10" t="s">
        <v>41</v>
      </c>
      <c r="C9" s="9" t="s">
        <v>10</v>
      </c>
      <c r="D9" s="9" t="s">
        <v>42</v>
      </c>
      <c r="E9" s="9" t="s">
        <v>43</v>
      </c>
      <c r="F9" s="12" t="s">
        <v>13</v>
      </c>
      <c r="G9" s="9" t="s">
        <v>14</v>
      </c>
      <c r="H9" s="9" t="s">
        <v>15</v>
      </c>
      <c r="I9" s="7"/>
    </row>
    <row r="10" spans="1:9" ht="20.149999999999999" customHeight="1" x14ac:dyDescent="0.25">
      <c r="A10" s="9" t="s">
        <v>44</v>
      </c>
      <c r="B10" s="9" t="s">
        <v>45</v>
      </c>
      <c r="C10" s="9" t="s">
        <v>10</v>
      </c>
      <c r="D10" s="9" t="s">
        <v>46</v>
      </c>
      <c r="E10" s="9" t="s">
        <v>47</v>
      </c>
      <c r="F10" s="12" t="s">
        <v>13</v>
      </c>
      <c r="G10" s="9" t="s">
        <v>14</v>
      </c>
      <c r="H10" s="9" t="s">
        <v>15</v>
      </c>
      <c r="I10" s="7"/>
    </row>
    <row r="11" spans="1:9" ht="20.149999999999999" customHeight="1" x14ac:dyDescent="0.25">
      <c r="A11" s="9" t="s">
        <v>48</v>
      </c>
      <c r="B11" s="9" t="s">
        <v>49</v>
      </c>
      <c r="C11" s="9" t="s">
        <v>10</v>
      </c>
      <c r="D11" s="9" t="s">
        <v>50</v>
      </c>
      <c r="E11" s="9" t="s">
        <v>51</v>
      </c>
      <c r="F11" s="12" t="s">
        <v>13</v>
      </c>
      <c r="G11" s="9" t="s">
        <v>14</v>
      </c>
      <c r="H11" s="9" t="s">
        <v>15</v>
      </c>
      <c r="I11" s="7"/>
    </row>
    <row r="12" spans="1:9" ht="15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65"/>
  <sheetViews>
    <sheetView tabSelected="1" topLeftCell="B21" zoomScale="90" zoomScaleNormal="90" workbookViewId="0">
      <selection activeCell="G11" sqref="G11"/>
    </sheetView>
  </sheetViews>
  <sheetFormatPr baseColWidth="10" defaultColWidth="12.54296875" defaultRowHeight="15" customHeight="1" x14ac:dyDescent="0.25"/>
  <cols>
    <col min="1" max="2" width="12.54296875" customWidth="1"/>
    <col min="3" max="3" width="57.1796875" customWidth="1"/>
    <col min="4" max="4" width="28.54296875" customWidth="1"/>
    <col min="5" max="5" width="52.1796875" customWidth="1"/>
    <col min="6" max="6" width="56.1796875" customWidth="1"/>
    <col min="7" max="7" width="29" bestFit="1" customWidth="1"/>
  </cols>
  <sheetData>
    <row r="1" spans="1:9" ht="15.75" customHeight="1" x14ac:dyDescent="0.25"/>
    <row r="2" spans="1:9" ht="14.25" customHeight="1" x14ac:dyDescent="0.25">
      <c r="A2" s="14" t="s">
        <v>52</v>
      </c>
      <c r="B2" s="14" t="s">
        <v>53</v>
      </c>
      <c r="C2" s="14"/>
      <c r="D2" s="14"/>
      <c r="E2" s="14"/>
      <c r="F2" s="14"/>
      <c r="G2" s="14"/>
      <c r="H2" s="14"/>
      <c r="I2" s="14"/>
    </row>
    <row r="3" spans="1:9" ht="15.75" customHeight="1" x14ac:dyDescent="0.3">
      <c r="B3" s="1" t="s">
        <v>0</v>
      </c>
      <c r="C3" s="1" t="s">
        <v>1</v>
      </c>
      <c r="D3" s="1" t="s">
        <v>2</v>
      </c>
      <c r="E3" s="1" t="s">
        <v>54</v>
      </c>
      <c r="F3" s="1" t="s">
        <v>55</v>
      </c>
      <c r="G3" s="1" t="s">
        <v>5</v>
      </c>
      <c r="H3" s="1" t="s">
        <v>56</v>
      </c>
      <c r="I3" s="1" t="s">
        <v>57</v>
      </c>
    </row>
    <row r="4" spans="1:9" ht="35.25" customHeight="1" x14ac:dyDescent="0.25">
      <c r="B4" s="3" t="s">
        <v>8</v>
      </c>
      <c r="C4" s="3" t="s">
        <v>58</v>
      </c>
      <c r="D4" s="3" t="s">
        <v>59</v>
      </c>
      <c r="E4" s="13" t="s">
        <v>11</v>
      </c>
      <c r="F4" s="3" t="s">
        <v>60</v>
      </c>
      <c r="G4" s="3" t="s">
        <v>61</v>
      </c>
      <c r="H4" s="3" t="s">
        <v>14</v>
      </c>
      <c r="I4" s="3" t="s">
        <v>62</v>
      </c>
    </row>
    <row r="5" spans="1:9" ht="15.75" customHeight="1" x14ac:dyDescent="0.3">
      <c r="B5" s="2"/>
      <c r="C5" s="4" t="s">
        <v>63</v>
      </c>
      <c r="D5" s="2"/>
      <c r="E5" s="2"/>
      <c r="F5" s="2"/>
      <c r="G5" s="4" t="s">
        <v>64</v>
      </c>
      <c r="H5" s="2"/>
      <c r="I5" s="4" t="s">
        <v>65</v>
      </c>
    </row>
    <row r="6" spans="1:9" ht="15.75" customHeight="1" x14ac:dyDescent="0.25">
      <c r="B6" s="5" t="s">
        <v>66</v>
      </c>
      <c r="C6" s="20" t="s">
        <v>67</v>
      </c>
      <c r="D6" s="21"/>
      <c r="E6" s="21"/>
      <c r="F6" s="21"/>
      <c r="G6" s="2" t="s">
        <v>68</v>
      </c>
      <c r="H6" s="2"/>
      <c r="I6">
        <v>1</v>
      </c>
    </row>
    <row r="7" spans="1:9" ht="15.75" customHeight="1" x14ac:dyDescent="0.25">
      <c r="B7" s="5" t="s">
        <v>69</v>
      </c>
      <c r="C7" s="20" t="s">
        <v>70</v>
      </c>
      <c r="D7" s="21"/>
      <c r="E7" s="21"/>
      <c r="F7" s="21"/>
      <c r="G7" s="2" t="s">
        <v>68</v>
      </c>
      <c r="H7" s="2"/>
      <c r="I7">
        <v>3</v>
      </c>
    </row>
    <row r="8" spans="1:9" ht="15.75" customHeight="1" x14ac:dyDescent="0.25">
      <c r="B8" s="5" t="s">
        <v>71</v>
      </c>
      <c r="C8" s="20" t="s">
        <v>72</v>
      </c>
      <c r="D8" s="21"/>
      <c r="E8" s="21"/>
      <c r="F8" s="21"/>
      <c r="G8" s="2" t="s">
        <v>68</v>
      </c>
      <c r="H8" s="2"/>
      <c r="I8">
        <v>4</v>
      </c>
    </row>
    <row r="9" spans="1:9" ht="15.75" customHeight="1" x14ac:dyDescent="0.3">
      <c r="B9" s="6" t="s">
        <v>73</v>
      </c>
      <c r="C9" s="22" t="s">
        <v>74</v>
      </c>
      <c r="D9" s="22"/>
      <c r="E9" s="22"/>
      <c r="F9" s="22"/>
      <c r="G9" s="2" t="s">
        <v>68</v>
      </c>
      <c r="H9" s="1"/>
      <c r="I9">
        <v>3</v>
      </c>
    </row>
    <row r="10" spans="1:9" ht="15.75" customHeight="1" x14ac:dyDescent="0.3">
      <c r="B10" s="6" t="s">
        <v>75</v>
      </c>
      <c r="C10" s="22" t="s">
        <v>76</v>
      </c>
      <c r="D10" s="22"/>
      <c r="E10" s="22"/>
      <c r="F10" s="22"/>
      <c r="G10" s="2" t="s">
        <v>68</v>
      </c>
      <c r="H10" s="1"/>
      <c r="I10">
        <v>0.5</v>
      </c>
    </row>
    <row r="11" spans="1:9" ht="27" customHeight="1" x14ac:dyDescent="0.25">
      <c r="B11" s="3" t="s">
        <v>16</v>
      </c>
      <c r="C11" s="3" t="s">
        <v>77</v>
      </c>
      <c r="D11" s="3" t="s">
        <v>59</v>
      </c>
      <c r="E11" s="13" t="s">
        <v>18</v>
      </c>
      <c r="F11" s="11" t="s">
        <v>19</v>
      </c>
      <c r="G11" s="3" t="s">
        <v>61</v>
      </c>
      <c r="H11" s="3" t="s">
        <v>14</v>
      </c>
      <c r="I11" s="3" t="s">
        <v>62</v>
      </c>
    </row>
    <row r="12" spans="1:9" ht="15.75" customHeight="1" x14ac:dyDescent="0.3">
      <c r="B12" s="2"/>
      <c r="C12" s="4" t="s">
        <v>63</v>
      </c>
      <c r="D12" s="2"/>
      <c r="E12" s="2"/>
      <c r="F12" s="2"/>
      <c r="G12" s="4" t="s">
        <v>64</v>
      </c>
      <c r="H12" s="2"/>
      <c r="I12" s="4" t="s">
        <v>65</v>
      </c>
    </row>
    <row r="13" spans="1:9" ht="15.75" customHeight="1" x14ac:dyDescent="0.25">
      <c r="B13" s="5" t="s">
        <v>78</v>
      </c>
      <c r="C13" t="s">
        <v>79</v>
      </c>
      <c r="G13" s="2" t="s">
        <v>80</v>
      </c>
      <c r="I13">
        <v>4</v>
      </c>
    </row>
    <row r="14" spans="1:9" ht="15.75" customHeight="1" x14ac:dyDescent="0.25">
      <c r="B14" s="5" t="s">
        <v>81</v>
      </c>
      <c r="C14" t="s">
        <v>85</v>
      </c>
      <c r="G14" s="2" t="s">
        <v>80</v>
      </c>
      <c r="I14">
        <v>3.5</v>
      </c>
    </row>
    <row r="15" spans="1:9" ht="15" customHeight="1" x14ac:dyDescent="0.25">
      <c r="B15" s="5" t="s">
        <v>82</v>
      </c>
      <c r="C15" t="s">
        <v>83</v>
      </c>
      <c r="G15" s="2" t="s">
        <v>80</v>
      </c>
      <c r="I15">
        <v>2.5</v>
      </c>
    </row>
    <row r="16" spans="1:9" ht="14.25" customHeight="1" x14ac:dyDescent="0.25">
      <c r="B16" s="5" t="s">
        <v>84</v>
      </c>
      <c r="C16" t="s">
        <v>85</v>
      </c>
      <c r="G16" s="2" t="s">
        <v>80</v>
      </c>
      <c r="I16">
        <v>3</v>
      </c>
    </row>
    <row r="17" spans="1:9" ht="15.75" customHeight="1" x14ac:dyDescent="0.25">
      <c r="B17" s="3" t="s">
        <v>20</v>
      </c>
      <c r="C17" s="3" t="s">
        <v>88</v>
      </c>
      <c r="D17" s="3" t="s">
        <v>59</v>
      </c>
      <c r="E17" s="13" t="s">
        <v>89</v>
      </c>
      <c r="F17" s="3" t="s">
        <v>90</v>
      </c>
      <c r="G17" s="3" t="s">
        <v>61</v>
      </c>
      <c r="H17" s="3" t="s">
        <v>14</v>
      </c>
      <c r="I17" s="3" t="s">
        <v>62</v>
      </c>
    </row>
    <row r="18" spans="1:9" ht="15.75" customHeight="1" x14ac:dyDescent="0.3">
      <c r="C18" t="s">
        <v>63</v>
      </c>
      <c r="G18" s="4" t="s">
        <v>64</v>
      </c>
      <c r="I18" s="4" t="s">
        <v>65</v>
      </c>
    </row>
    <row r="19" spans="1:9" ht="15.75" customHeight="1" x14ac:dyDescent="0.25">
      <c r="B19" s="5" t="s">
        <v>91</v>
      </c>
      <c r="C19" s="16" t="s">
        <v>92</v>
      </c>
      <c r="G19" s="2" t="s">
        <v>155</v>
      </c>
      <c r="I19">
        <v>3.5</v>
      </c>
    </row>
    <row r="20" spans="1:9" ht="15.75" customHeight="1" x14ac:dyDescent="0.25">
      <c r="B20" s="5" t="s">
        <v>93</v>
      </c>
      <c r="C20" s="16" t="s">
        <v>94</v>
      </c>
      <c r="G20" s="2" t="s">
        <v>155</v>
      </c>
      <c r="I20">
        <v>2</v>
      </c>
    </row>
    <row r="21" spans="1:9" ht="15.75" customHeight="1" x14ac:dyDescent="0.25">
      <c r="B21" s="5" t="s">
        <v>95</v>
      </c>
      <c r="C21" s="16" t="s">
        <v>96</v>
      </c>
      <c r="G21" s="2" t="s">
        <v>155</v>
      </c>
      <c r="I21">
        <v>2</v>
      </c>
    </row>
    <row r="22" spans="1:9" ht="34.5" customHeight="1" x14ac:dyDescent="0.25">
      <c r="B22" s="5" t="s">
        <v>97</v>
      </c>
      <c r="C22" s="16" t="s">
        <v>98</v>
      </c>
      <c r="G22" s="2" t="s">
        <v>155</v>
      </c>
      <c r="I22">
        <v>1.5</v>
      </c>
    </row>
    <row r="23" spans="1:9" ht="15.75" customHeight="1" x14ac:dyDescent="0.25">
      <c r="B23" s="3" t="s">
        <v>24</v>
      </c>
      <c r="C23" s="3" t="s">
        <v>99</v>
      </c>
      <c r="D23" s="3" t="s">
        <v>59</v>
      </c>
      <c r="E23" s="13" t="s">
        <v>26</v>
      </c>
      <c r="F23" s="11" t="s">
        <v>27</v>
      </c>
      <c r="G23" s="3" t="s">
        <v>61</v>
      </c>
      <c r="H23" s="3" t="s">
        <v>14</v>
      </c>
      <c r="I23" s="3" t="s">
        <v>62</v>
      </c>
    </row>
    <row r="24" spans="1:9" ht="15.75" customHeight="1" x14ac:dyDescent="0.3">
      <c r="C24" t="s">
        <v>63</v>
      </c>
      <c r="G24" s="4" t="s">
        <v>64</v>
      </c>
      <c r="I24" s="4" t="s">
        <v>65</v>
      </c>
    </row>
    <row r="25" spans="1:9" ht="15.75" customHeight="1" x14ac:dyDescent="0.25">
      <c r="B25" s="5" t="s">
        <v>100</v>
      </c>
      <c r="C25" t="s">
        <v>101</v>
      </c>
      <c r="G25" s="2" t="s">
        <v>102</v>
      </c>
      <c r="I25">
        <v>1</v>
      </c>
    </row>
    <row r="26" spans="1:9" ht="15.75" customHeight="1" x14ac:dyDescent="0.25">
      <c r="B26" s="5" t="s">
        <v>103</v>
      </c>
      <c r="C26" t="s">
        <v>104</v>
      </c>
      <c r="G26" s="2" t="s">
        <v>102</v>
      </c>
      <c r="I26">
        <v>1.5</v>
      </c>
    </row>
    <row r="27" spans="1:9" ht="15.75" customHeight="1" x14ac:dyDescent="0.25">
      <c r="B27" s="5" t="s">
        <v>105</v>
      </c>
      <c r="C27" t="s">
        <v>106</v>
      </c>
      <c r="G27" s="2" t="s">
        <v>102</v>
      </c>
      <c r="I27">
        <v>1</v>
      </c>
    </row>
    <row r="28" spans="1:9" ht="26.5" customHeight="1" x14ac:dyDescent="0.25">
      <c r="A28" s="23"/>
      <c r="B28" s="5" t="s">
        <v>107</v>
      </c>
      <c r="C28" t="s">
        <v>108</v>
      </c>
      <c r="G28" s="2" t="s">
        <v>102</v>
      </c>
      <c r="I28">
        <v>2</v>
      </c>
    </row>
    <row r="29" spans="1:9" ht="15.75" customHeight="1" x14ac:dyDescent="0.25">
      <c r="A29" s="14" t="s">
        <v>86</v>
      </c>
      <c r="B29" s="14" t="s">
        <v>87</v>
      </c>
      <c r="C29" s="14"/>
      <c r="D29" s="14"/>
      <c r="E29" s="14"/>
      <c r="F29" s="14"/>
      <c r="G29" s="14"/>
      <c r="H29" s="14"/>
      <c r="I29" s="14"/>
    </row>
    <row r="30" spans="1:9" ht="15.75" customHeight="1" x14ac:dyDescent="0.25">
      <c r="B30" s="3" t="s">
        <v>28</v>
      </c>
      <c r="C30" s="3" t="s">
        <v>29</v>
      </c>
      <c r="D30" s="3" t="s">
        <v>59</v>
      </c>
      <c r="E30" s="13" t="s">
        <v>30</v>
      </c>
      <c r="F30" s="11" t="s">
        <v>31</v>
      </c>
      <c r="G30" s="3" t="s">
        <v>61</v>
      </c>
      <c r="H30" s="3" t="s">
        <v>14</v>
      </c>
      <c r="I30" s="3" t="s">
        <v>62</v>
      </c>
    </row>
    <row r="31" spans="1:9" ht="15.75" customHeight="1" x14ac:dyDescent="0.25">
      <c r="C31" t="s">
        <v>109</v>
      </c>
    </row>
    <row r="32" spans="1:9" ht="15.75" customHeight="1" x14ac:dyDescent="0.25"/>
    <row r="33" spans="2:9" ht="29.25" customHeight="1" x14ac:dyDescent="0.25">
      <c r="B33" s="5" t="s">
        <v>110</v>
      </c>
      <c r="C33" s="17" t="s">
        <v>111</v>
      </c>
    </row>
    <row r="34" spans="2:9" ht="40.5" customHeight="1" x14ac:dyDescent="0.25">
      <c r="B34" s="5" t="s">
        <v>112</v>
      </c>
      <c r="C34" s="17" t="s">
        <v>113</v>
      </c>
    </row>
    <row r="35" spans="2:9" ht="51" customHeight="1" x14ac:dyDescent="0.25">
      <c r="B35" s="5" t="s">
        <v>114</v>
      </c>
      <c r="C35" s="17" t="s">
        <v>115</v>
      </c>
    </row>
    <row r="36" spans="2:9" ht="15.75" customHeight="1" x14ac:dyDescent="0.25">
      <c r="B36" s="3" t="s">
        <v>32</v>
      </c>
      <c r="C36" s="3" t="s">
        <v>33</v>
      </c>
      <c r="D36" s="3" t="s">
        <v>59</v>
      </c>
      <c r="E36" s="13" t="s">
        <v>34</v>
      </c>
      <c r="F36" s="11" t="s">
        <v>35</v>
      </c>
      <c r="G36" s="3" t="s">
        <v>61</v>
      </c>
      <c r="H36" s="3" t="s">
        <v>14</v>
      </c>
      <c r="I36" s="3" t="s">
        <v>62</v>
      </c>
    </row>
    <row r="37" spans="2:9" ht="24" customHeight="1" x14ac:dyDescent="0.3">
      <c r="C37" t="s">
        <v>63</v>
      </c>
      <c r="G37" s="4" t="s">
        <v>64</v>
      </c>
      <c r="I37" s="4" t="s">
        <v>65</v>
      </c>
    </row>
    <row r="38" spans="2:9" ht="15.75" customHeight="1" x14ac:dyDescent="0.25">
      <c r="B38" s="5" t="s">
        <v>117</v>
      </c>
      <c r="C38" s="17" t="s">
        <v>118</v>
      </c>
      <c r="G38" s="2" t="s">
        <v>102</v>
      </c>
      <c r="I38">
        <v>1</v>
      </c>
    </row>
    <row r="39" spans="2:9" ht="15.75" customHeight="1" x14ac:dyDescent="0.25">
      <c r="B39" s="5" t="s">
        <v>119</v>
      </c>
      <c r="C39" s="17" t="s">
        <v>120</v>
      </c>
      <c r="G39" s="2" t="s">
        <v>102</v>
      </c>
      <c r="I39">
        <v>2</v>
      </c>
    </row>
    <row r="40" spans="2:9" ht="15.75" customHeight="1" x14ac:dyDescent="0.25">
      <c r="B40" s="5" t="s">
        <v>121</v>
      </c>
      <c r="C40" t="s">
        <v>122</v>
      </c>
      <c r="G40" s="2" t="s">
        <v>102</v>
      </c>
      <c r="I40">
        <v>1</v>
      </c>
    </row>
    <row r="41" spans="2:9" ht="28.5" customHeight="1" x14ac:dyDescent="0.25">
      <c r="B41" s="5" t="s">
        <v>123</v>
      </c>
      <c r="C41" t="s">
        <v>124</v>
      </c>
      <c r="G41" s="2" t="s">
        <v>102</v>
      </c>
      <c r="I41">
        <v>2</v>
      </c>
    </row>
    <row r="42" spans="2:9" ht="15.75" customHeight="1" x14ac:dyDescent="0.25">
      <c r="B42" s="3" t="s">
        <v>36</v>
      </c>
      <c r="C42" s="3" t="s">
        <v>37</v>
      </c>
      <c r="D42" s="3" t="s">
        <v>59</v>
      </c>
      <c r="E42" s="13" t="s">
        <v>38</v>
      </c>
      <c r="F42" s="11" t="s">
        <v>39</v>
      </c>
      <c r="G42" s="3" t="s">
        <v>61</v>
      </c>
      <c r="H42" s="3" t="s">
        <v>14</v>
      </c>
      <c r="I42" s="3" t="s">
        <v>62</v>
      </c>
    </row>
    <row r="43" spans="2:9" ht="26.5" customHeight="1" x14ac:dyDescent="0.3">
      <c r="C43" s="18" t="s">
        <v>109</v>
      </c>
      <c r="G43" s="2"/>
    </row>
    <row r="44" spans="2:9" ht="15.75" customHeight="1" x14ac:dyDescent="0.25">
      <c r="B44" s="19" t="s">
        <v>125</v>
      </c>
      <c r="C44" s="17" t="s">
        <v>126</v>
      </c>
      <c r="G44" s="2" t="s">
        <v>68</v>
      </c>
    </row>
    <row r="45" spans="2:9" ht="15.75" customHeight="1" x14ac:dyDescent="0.25">
      <c r="B45" s="19" t="s">
        <v>127</v>
      </c>
      <c r="C45" s="17" t="s">
        <v>128</v>
      </c>
      <c r="G45" s="2" t="s">
        <v>68</v>
      </c>
    </row>
    <row r="46" spans="2:9" ht="15.75" customHeight="1" x14ac:dyDescent="0.25">
      <c r="B46" s="19" t="s">
        <v>129</v>
      </c>
      <c r="C46" s="17" t="s">
        <v>130</v>
      </c>
      <c r="G46" s="2" t="s">
        <v>68</v>
      </c>
    </row>
    <row r="47" spans="2:9" ht="23.25" customHeight="1" x14ac:dyDescent="0.25">
      <c r="B47" s="3" t="s">
        <v>40</v>
      </c>
      <c r="C47" s="3" t="s">
        <v>41</v>
      </c>
      <c r="D47" s="3" t="s">
        <v>59</v>
      </c>
      <c r="E47" s="13" t="s">
        <v>42</v>
      </c>
      <c r="F47" s="11" t="s">
        <v>43</v>
      </c>
      <c r="G47" s="3" t="s">
        <v>61</v>
      </c>
      <c r="H47" s="3" t="s">
        <v>14</v>
      </c>
      <c r="I47" s="3" t="s">
        <v>62</v>
      </c>
    </row>
    <row r="48" spans="2:9" ht="36.75" customHeight="1" x14ac:dyDescent="0.3">
      <c r="B48" s="2"/>
      <c r="C48" s="4" t="s">
        <v>63</v>
      </c>
      <c r="G48" s="4" t="s">
        <v>64</v>
      </c>
      <c r="I48" s="4" t="s">
        <v>65</v>
      </c>
    </row>
    <row r="49" spans="1:9" ht="28.5" customHeight="1" x14ac:dyDescent="0.25">
      <c r="B49" s="5" t="s">
        <v>131</v>
      </c>
      <c r="C49" s="16" t="s">
        <v>132</v>
      </c>
      <c r="G49" s="2" t="s">
        <v>80</v>
      </c>
      <c r="I49">
        <v>3</v>
      </c>
    </row>
    <row r="50" spans="1:9" ht="15.75" customHeight="1" x14ac:dyDescent="0.25">
      <c r="B50" s="5" t="s">
        <v>133</v>
      </c>
      <c r="C50" s="16" t="s">
        <v>134</v>
      </c>
      <c r="G50" s="2" t="s">
        <v>80</v>
      </c>
      <c r="I50">
        <v>4</v>
      </c>
    </row>
    <row r="51" spans="1:9" ht="15.75" customHeight="1" x14ac:dyDescent="0.25">
      <c r="B51" s="5" t="s">
        <v>135</v>
      </c>
      <c r="C51" s="16" t="s">
        <v>136</v>
      </c>
      <c r="G51" s="2" t="s">
        <v>80</v>
      </c>
      <c r="I51">
        <v>1.5</v>
      </c>
    </row>
    <row r="52" spans="1:9" ht="23.15" customHeight="1" x14ac:dyDescent="0.25">
      <c r="B52" s="5" t="s">
        <v>137</v>
      </c>
      <c r="C52" s="16" t="s">
        <v>138</v>
      </c>
      <c r="G52" s="2" t="s">
        <v>80</v>
      </c>
      <c r="I52">
        <v>2.5</v>
      </c>
    </row>
    <row r="53" spans="1:9" ht="15.75" customHeight="1" x14ac:dyDescent="0.25">
      <c r="A53" s="15" t="s">
        <v>116</v>
      </c>
      <c r="B53" s="15" t="s">
        <v>139</v>
      </c>
      <c r="C53" s="14"/>
      <c r="D53" s="14"/>
      <c r="E53" s="14"/>
      <c r="F53" s="14"/>
      <c r="G53" s="14"/>
      <c r="H53" s="14"/>
      <c r="I53" s="14"/>
    </row>
    <row r="54" spans="1:9" ht="15.75" customHeight="1" x14ac:dyDescent="0.25"/>
    <row r="55" spans="1:9" ht="15.75" customHeight="1" x14ac:dyDescent="0.25">
      <c r="B55" s="3" t="s">
        <v>44</v>
      </c>
      <c r="C55" s="3" t="s">
        <v>45</v>
      </c>
      <c r="D55" s="3" t="s">
        <v>59</v>
      </c>
      <c r="E55" s="13" t="s">
        <v>46</v>
      </c>
      <c r="F55" s="11" t="s">
        <v>47</v>
      </c>
      <c r="G55" s="3" t="s">
        <v>61</v>
      </c>
      <c r="H55" s="3" t="s">
        <v>14</v>
      </c>
      <c r="I55" s="3" t="s">
        <v>62</v>
      </c>
    </row>
    <row r="56" spans="1:9" ht="26.15" customHeight="1" x14ac:dyDescent="0.25">
      <c r="C56" t="s">
        <v>109</v>
      </c>
    </row>
    <row r="57" spans="1:9" ht="15.75" customHeight="1" x14ac:dyDescent="0.25">
      <c r="B57" s="19" t="s">
        <v>140</v>
      </c>
      <c r="C57" s="17" t="s">
        <v>141</v>
      </c>
    </row>
    <row r="58" spans="1:9" ht="15.75" customHeight="1" x14ac:dyDescent="0.25">
      <c r="B58" s="19" t="s">
        <v>142</v>
      </c>
      <c r="C58" s="17" t="s">
        <v>143</v>
      </c>
    </row>
    <row r="59" spans="1:9" ht="15.75" customHeight="1" x14ac:dyDescent="0.25">
      <c r="B59" s="19" t="s">
        <v>144</v>
      </c>
      <c r="C59" s="17" t="s">
        <v>145</v>
      </c>
    </row>
    <row r="60" spans="1:9" ht="26.25" customHeight="1" x14ac:dyDescent="0.25">
      <c r="B60" s="3" t="s">
        <v>48</v>
      </c>
      <c r="C60" s="3" t="s">
        <v>49</v>
      </c>
      <c r="D60" s="3" t="s">
        <v>59</v>
      </c>
      <c r="E60" s="13" t="s">
        <v>50</v>
      </c>
      <c r="F60" s="11" t="s">
        <v>146</v>
      </c>
      <c r="G60" s="3" t="s">
        <v>61</v>
      </c>
      <c r="H60" s="3" t="s">
        <v>14</v>
      </c>
      <c r="I60" s="3" t="s">
        <v>62</v>
      </c>
    </row>
    <row r="61" spans="1:9" ht="36.75" customHeight="1" x14ac:dyDescent="0.3">
      <c r="C61" s="4" t="s">
        <v>63</v>
      </c>
      <c r="G61" s="4" t="s">
        <v>64</v>
      </c>
    </row>
    <row r="62" spans="1:9" ht="24.75" customHeight="1" x14ac:dyDescent="0.25">
      <c r="B62" s="5" t="s">
        <v>147</v>
      </c>
      <c r="C62" s="16" t="s">
        <v>148</v>
      </c>
      <c r="G62" s="2" t="s">
        <v>80</v>
      </c>
      <c r="I62">
        <v>2.5</v>
      </c>
    </row>
    <row r="63" spans="1:9" ht="15.75" customHeight="1" x14ac:dyDescent="0.25">
      <c r="B63" s="5" t="s">
        <v>149</v>
      </c>
      <c r="C63" s="16" t="s">
        <v>150</v>
      </c>
      <c r="G63" s="2" t="s">
        <v>80</v>
      </c>
      <c r="I63">
        <v>3</v>
      </c>
    </row>
    <row r="64" spans="1:9" ht="15.75" customHeight="1" x14ac:dyDescent="0.25">
      <c r="B64" s="5" t="s">
        <v>151</v>
      </c>
      <c r="C64" s="16" t="s">
        <v>152</v>
      </c>
      <c r="G64" s="2" t="s">
        <v>80</v>
      </c>
      <c r="I64">
        <v>3</v>
      </c>
    </row>
    <row r="65" spans="2:9" ht="15.75" customHeight="1" x14ac:dyDescent="0.25">
      <c r="B65" s="5" t="s">
        <v>153</v>
      </c>
      <c r="C65" s="16" t="s">
        <v>154</v>
      </c>
      <c r="G65" s="2" t="s">
        <v>80</v>
      </c>
      <c r="I65">
        <v>3.5</v>
      </c>
    </row>
    <row r="66" spans="2:9" ht="15.75" customHeight="1" x14ac:dyDescent="0.25"/>
    <row r="67" spans="2:9" ht="15.75" customHeight="1" x14ac:dyDescent="0.25"/>
    <row r="68" spans="2:9" ht="15.75" customHeight="1" x14ac:dyDescent="0.25"/>
    <row r="69" spans="2:9" ht="15.75" customHeight="1" x14ac:dyDescent="0.25"/>
    <row r="70" spans="2:9" ht="15.75" customHeight="1" x14ac:dyDescent="0.25"/>
    <row r="71" spans="2:9" ht="15.75" customHeight="1" x14ac:dyDescent="0.25"/>
    <row r="72" spans="2:9" ht="15.75" customHeight="1" x14ac:dyDescent="0.25"/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/>
    <row r="77" spans="2:9" ht="15.75" customHeight="1" x14ac:dyDescent="0.25"/>
    <row r="78" spans="2:9" ht="15.75" customHeight="1" x14ac:dyDescent="0.25"/>
    <row r="79" spans="2:9" ht="15.75" customHeight="1" x14ac:dyDescent="0.25"/>
    <row r="80" spans="2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</sheetData>
  <mergeCells count="5">
    <mergeCell ref="C6:F6"/>
    <mergeCell ref="C7:F7"/>
    <mergeCell ref="C8:F8"/>
    <mergeCell ref="C10:F10"/>
    <mergeCell ref="C9:F9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496C-95BF-43E4-86D6-15F1098F0070}">
  <sheetPr>
    <outlinePr summaryBelow="0" summaryRight="0"/>
  </sheetPr>
  <dimension ref="A1:K982"/>
  <sheetViews>
    <sheetView zoomScaleNormal="100" workbookViewId="0">
      <selection activeCell="E14" sqref="E14"/>
    </sheetView>
  </sheetViews>
  <sheetFormatPr baseColWidth="10" defaultColWidth="12.54296875" defaultRowHeight="15" customHeight="1" x14ac:dyDescent="0.25"/>
  <cols>
    <col min="1" max="1" width="12.54296875" style="24" customWidth="1"/>
    <col min="2" max="2" width="24.7265625" style="24" customWidth="1"/>
    <col min="3" max="3" width="12.54296875" style="24" customWidth="1"/>
    <col min="4" max="4" width="11.1796875" style="24" customWidth="1"/>
    <col min="5" max="8" width="12.54296875" style="24" customWidth="1"/>
    <col min="9" max="16384" width="12.54296875" style="24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25"/>
      <c r="C3" s="25" t="s">
        <v>65</v>
      </c>
      <c r="D3" s="25" t="s">
        <v>156</v>
      </c>
      <c r="E3" s="25" t="s">
        <v>157</v>
      </c>
      <c r="F3" s="25" t="s">
        <v>158</v>
      </c>
      <c r="G3" s="25" t="s">
        <v>159</v>
      </c>
      <c r="H3" s="25" t="s">
        <v>160</v>
      </c>
      <c r="I3" s="25" t="s">
        <v>161</v>
      </c>
      <c r="J3" s="25" t="s">
        <v>162</v>
      </c>
      <c r="K3" s="25" t="s">
        <v>163</v>
      </c>
    </row>
    <row r="4" spans="1:11" ht="15.75" customHeight="1" x14ac:dyDescent="0.25">
      <c r="B4" s="24" t="s">
        <v>66</v>
      </c>
      <c r="C4" s="26">
        <v>4</v>
      </c>
      <c r="D4" s="24">
        <v>0</v>
      </c>
      <c r="E4" s="24">
        <v>2</v>
      </c>
      <c r="F4" s="24">
        <v>1</v>
      </c>
      <c r="G4" s="24">
        <v>0</v>
      </c>
      <c r="H4" s="24">
        <v>0</v>
      </c>
      <c r="I4" s="24">
        <v>0</v>
      </c>
      <c r="J4" s="24">
        <v>1</v>
      </c>
      <c r="K4" s="27">
        <v>4</v>
      </c>
    </row>
    <row r="5" spans="1:11" ht="15.75" customHeight="1" x14ac:dyDescent="0.25">
      <c r="B5" s="24" t="s">
        <v>69</v>
      </c>
      <c r="C5" s="26">
        <v>1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1</v>
      </c>
      <c r="J5" s="24">
        <v>0</v>
      </c>
      <c r="K5" s="27">
        <v>1</v>
      </c>
    </row>
    <row r="6" spans="1:11" ht="15.75" customHeight="1" x14ac:dyDescent="0.25">
      <c r="A6" s="25"/>
      <c r="B6" s="24" t="s">
        <v>71</v>
      </c>
      <c r="C6" s="26">
        <v>2</v>
      </c>
      <c r="D6" s="24">
        <v>1</v>
      </c>
      <c r="E6" s="24">
        <v>0</v>
      </c>
      <c r="F6" s="24">
        <v>1</v>
      </c>
      <c r="G6" s="24">
        <v>0</v>
      </c>
      <c r="H6" s="24">
        <v>0</v>
      </c>
      <c r="I6" s="24">
        <v>0</v>
      </c>
      <c r="J6" s="24">
        <v>0</v>
      </c>
      <c r="K6" s="27">
        <v>2</v>
      </c>
    </row>
    <row r="7" spans="1:11" ht="15.75" customHeight="1" x14ac:dyDescent="0.25">
      <c r="A7" s="25"/>
      <c r="B7" s="24" t="s">
        <v>73</v>
      </c>
      <c r="C7" s="26">
        <v>4</v>
      </c>
      <c r="D7" s="24">
        <v>2</v>
      </c>
      <c r="E7" s="24">
        <v>0</v>
      </c>
      <c r="F7" s="24">
        <v>0</v>
      </c>
      <c r="G7" s="24">
        <v>1</v>
      </c>
      <c r="H7" s="24">
        <v>0</v>
      </c>
      <c r="I7" s="24">
        <v>1</v>
      </c>
      <c r="J7" s="24">
        <v>0</v>
      </c>
      <c r="K7" s="27">
        <v>4</v>
      </c>
    </row>
    <row r="8" spans="1:11" ht="15.75" customHeight="1" x14ac:dyDescent="0.25"/>
    <row r="9" spans="1:11" ht="15.75" customHeight="1" x14ac:dyDescent="0.55000000000000004">
      <c r="B9" s="28" t="s">
        <v>164</v>
      </c>
      <c r="C9" s="29">
        <f>SUM(C4:C7)</f>
        <v>11</v>
      </c>
      <c r="D9" s="29">
        <f t="shared" ref="D9:J9" si="0">C9-SUM(D4:D7)</f>
        <v>8</v>
      </c>
      <c r="E9" s="30">
        <f t="shared" si="0"/>
        <v>6</v>
      </c>
      <c r="F9" s="29">
        <f t="shared" si="0"/>
        <v>4</v>
      </c>
      <c r="G9" s="29">
        <f t="shared" si="0"/>
        <v>3</v>
      </c>
      <c r="H9" s="29">
        <f t="shared" si="0"/>
        <v>3</v>
      </c>
      <c r="I9" s="29">
        <f t="shared" si="0"/>
        <v>1</v>
      </c>
      <c r="J9" s="29">
        <f t="shared" si="0"/>
        <v>0</v>
      </c>
    </row>
    <row r="10" spans="1:11" ht="15.75" customHeight="1" x14ac:dyDescent="0.55000000000000004">
      <c r="B10" s="28" t="s">
        <v>165</v>
      </c>
      <c r="C10" s="29">
        <f>SUM(C4:C7)</f>
        <v>11</v>
      </c>
      <c r="D10" s="29">
        <f>C10-(SUM(C4:C7)/7)</f>
        <v>9.4285714285714288</v>
      </c>
      <c r="E10" s="30">
        <f>D10-(SUM(C4:C7)/7)</f>
        <v>7.8571428571428577</v>
      </c>
      <c r="F10" s="29">
        <f>E10-(SUM(C4:C7)/7)</f>
        <v>6.2857142857142865</v>
      </c>
      <c r="G10" s="29">
        <f>F10-(SUM(C4:C7)/7)</f>
        <v>4.7142857142857153</v>
      </c>
      <c r="H10" s="29">
        <f>G10-(SUM(C4:C7)/7)</f>
        <v>3.1428571428571441</v>
      </c>
      <c r="I10" s="29">
        <f>H10-(SUM(C4:C7)/7)</f>
        <v>1.5714285714285727</v>
      </c>
      <c r="J10" s="29">
        <f>I10-(SUM(C4:C7)/7)</f>
        <v>0</v>
      </c>
    </row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>
      <c r="B19" s="31"/>
      <c r="C19" s="31"/>
      <c r="D19" s="31"/>
      <c r="E19" s="31"/>
    </row>
    <row r="20" spans="2:5" ht="15.75" customHeight="1" x14ac:dyDescent="0.25">
      <c r="B20" s="31"/>
      <c r="C20" s="31"/>
      <c r="D20" s="31"/>
      <c r="E20" s="31"/>
    </row>
    <row r="21" spans="2:5" ht="15.75" customHeight="1" x14ac:dyDescent="0.25">
      <c r="B21" s="31"/>
      <c r="C21" s="31"/>
      <c r="D21" s="31"/>
      <c r="E21" s="31"/>
    </row>
    <row r="22" spans="2:5" ht="15.75" customHeight="1" x14ac:dyDescent="0.25">
      <c r="B22" s="31"/>
      <c r="C22" s="31"/>
      <c r="D22" s="31"/>
      <c r="E22" s="31"/>
    </row>
    <row r="23" spans="2:5" ht="15.75" customHeight="1" x14ac:dyDescent="0.25">
      <c r="B23" s="31"/>
      <c r="C23" s="31"/>
      <c r="D23" s="31"/>
      <c r="E23" s="31"/>
    </row>
    <row r="24" spans="2:5" ht="15.75" customHeight="1" x14ac:dyDescent="0.25">
      <c r="B24" s="31"/>
      <c r="C24" s="31"/>
      <c r="D24" s="31"/>
      <c r="E24" s="31"/>
    </row>
    <row r="25" spans="2:5" ht="15.75" customHeight="1" x14ac:dyDescent="0.25">
      <c r="B25" s="31"/>
      <c r="C25" s="31"/>
      <c r="D25" s="31"/>
      <c r="E25" s="31"/>
    </row>
    <row r="26" spans="2:5" ht="15.75" customHeight="1" x14ac:dyDescent="0.25">
      <c r="B26" s="31"/>
      <c r="C26" s="31"/>
      <c r="D26" s="31"/>
      <c r="E26" s="31"/>
    </row>
    <row r="27" spans="2:5" ht="15.75" customHeight="1" x14ac:dyDescent="0.25">
      <c r="B27" s="31"/>
      <c r="C27" s="31"/>
      <c r="D27" s="31"/>
      <c r="E27" s="31"/>
    </row>
    <row r="28" spans="2:5" ht="15.75" customHeight="1" x14ac:dyDescent="0.25">
      <c r="B28" s="31"/>
      <c r="C28" s="31"/>
      <c r="D28" s="31"/>
      <c r="E28" s="31"/>
    </row>
    <row r="29" spans="2:5" ht="15.75" customHeight="1" x14ac:dyDescent="0.25">
      <c r="B29" s="31"/>
      <c r="C29" s="31"/>
      <c r="D29" s="31"/>
      <c r="E29" s="31"/>
    </row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1">
    <mergeCell ref="B19:E2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Esteban Cuichan</cp:lastModifiedBy>
  <cp:revision/>
  <dcterms:created xsi:type="dcterms:W3CDTF">2023-01-13T00:08:30Z</dcterms:created>
  <dcterms:modified xsi:type="dcterms:W3CDTF">2026-05-30T16:27:04Z</dcterms:modified>
  <cp:category/>
  <cp:contentStatus/>
</cp:coreProperties>
</file>