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15EEE7-BDBE-4A0D-889A-1AC74CE2A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<sst xmlns="http://schemas.openxmlformats.org/spreadsheetml/2006/main" count="149" uniqueCount="109">
  <si>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</si>
  <si>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</si>
  <si>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</si>
  <si>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</si>
  <si>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</si>
  <si>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</si>
  <si>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</si>
  <si>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</si>
  <si>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</si>
  <si>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</si>
  <si>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</si>
  <si>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</si>
  <si>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</si>
  <si>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</si>
  <si>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</si>
  <si>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</si>
  <si>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</si>
  <si>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</si>
  <si>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</si>
  <si>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</si>
  <si>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</si>
  <si>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</si>
  <si>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</si>
  <si>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</si>
  <si>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</si>
  <si>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</si>
  <si>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</si>
  <si>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</si>
  <si>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</si>
  <si>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</si>
  <si>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</si>
  <si>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</si>
  <si>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</si>
  <si>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</si>
  <si>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REQ005</t>
  </si>
  <si>
    <t>REQ006</t>
  </si>
  <si>
    <t>REQ007</t>
  </si>
  <si>
    <t>Eatan Ayala</t>
  </si>
  <si>
    <t>Johan Catota</t>
  </si>
  <si>
    <t>Matriz de Marco de Trabajo de HU Huertos de JuanCa</t>
  </si>
  <si>
    <t>registro de clientes potenciales</t>
  </si>
  <si>
    <t>Permitir diferenciar a clientes "Potenciales" y "Frecuentes"</t>
  </si>
  <si>
    <t>Ingresar personas que no sean clientes frecuentes, pero han mostrado interes en los productos</t>
  </si>
  <si>
    <t>Administrador "Los Huertos del Juanca"</t>
  </si>
  <si>
    <t>2h</t>
  </si>
  <si>
    <t>3h</t>
  </si>
  <si>
    <t>Ingresar un cliente y marcarlo como "Potencial"</t>
  </si>
  <si>
    <t>Registro de clientes potenciales</t>
  </si>
  <si>
    <t>"Usuario guardado como cliente potencial" una vez que se haga el registro</t>
  </si>
  <si>
    <t>cumpleaños cliente</t>
  </si>
  <si>
    <t>ingreso de fecha de cumpleaños del cliente</t>
  </si>
  <si>
    <t>Ingresar la fecha de cumpleaños del cliente para hacerle llegar un presente, mediante una alerta</t>
  </si>
  <si>
    <t>crear un mensaje de contacto registrado como "Potencial" y convertirlo a cliente activo</t>
  </si>
  <si>
    <t>Ingreso de fecha de cumpleaños, como dato del cliente y muestre una alerta cuando llegue ese día</t>
  </si>
  <si>
    <t>Ingresar fecha de hoy para ver si la alerta funciona</t>
  </si>
  <si>
    <t>"Hoy es el cumpleaños de x cliente" una vez que llegue dicho día</t>
  </si>
  <si>
    <t>Registrar fecha de cumpleaños del cliente</t>
  </si>
  <si>
    <t>registro de inventario</t>
  </si>
  <si>
    <t>ingreso de compra de fruta y envases</t>
  </si>
  <si>
    <t>Visualizar stock existente sobre fruta y envases registrados, y calcular gasto generado</t>
  </si>
  <si>
    <t>Ingresar fruta y envases adquiridos, con sus precios y stock, para calcular gasto total</t>
  </si>
  <si>
    <t>2h 30min</t>
  </si>
  <si>
    <t>Ingresar stock y precio "0" o negativo, alertar sobre datos mal ingresados</t>
  </si>
  <si>
    <t>"Datos incoherentes" cuando se ingresen stocks o precios incorrectos</t>
  </si>
  <si>
    <t>Registro de inventario</t>
  </si>
  <si>
    <t>registro venta diaria</t>
  </si>
  <si>
    <t>registrar cuantos productos se vendieron ese día y a quién</t>
  </si>
  <si>
    <t>Ingresar fichas de venta, donde se muestre el producto, el cliente y el precio</t>
  </si>
  <si>
    <t>"Venta resigtrada correctamente" una vez se realice el registro de la venta</t>
  </si>
  <si>
    <t>Registro de venta diaria</t>
  </si>
  <si>
    <t>Ingresar un cliente, agregar producto y calcular precio total de la venta; posterior guardar la venta y actualizar el stock</t>
  </si>
  <si>
    <t>Ingresar o seleccionar un cliente, con el producto adquirido, alertar sobre el ingreso y actualizar stock</t>
  </si>
  <si>
    <t>generación nota venta</t>
  </si>
  <si>
    <t>permitir generar una nota de venta, acorde la venta realizada</t>
  </si>
  <si>
    <t>En base a la venta registrada, generar una nota de venta para imprimir o enviar al cliente</t>
  </si>
  <si>
    <t>Al finalizar el registro de venta, permitir seleccionar "Imprimir nota de venta", y generar el documento</t>
  </si>
  <si>
    <t>1h 30 min</t>
  </si>
  <si>
    <t>Registrar la venta, y generar su respectiva nota de venta</t>
  </si>
  <si>
    <t>"Generando nota de venta" cuando se cree el archivo</t>
  </si>
  <si>
    <t>Generar nota de venta</t>
  </si>
  <si>
    <t>registrar información del cliente</t>
  </si>
  <si>
    <t>ingresar datos personales sobre el cliente</t>
  </si>
  <si>
    <t>realizar el ingreso de nombre, apellido, cedula, número de télefono, fecha de nacimiento y dirección"</t>
  </si>
  <si>
    <t>Ingresar al cliente y tener un registro sobre el y poder identificarlo</t>
  </si>
  <si>
    <t>Al ingresar al cliente se guarde la información y se visualice que se guardo correctamente</t>
  </si>
  <si>
    <t>"Cliente correctamente registrado" cuando el cliente sea registrado</t>
  </si>
  <si>
    <t>Registro de información del cliente</t>
  </si>
  <si>
    <t>Esteban Cuichan</t>
  </si>
  <si>
    <t>sistema principal</t>
  </si>
  <si>
    <t>Permitir ver los módulos del sistema existentes</t>
  </si>
  <si>
    <t>Ingresar al sistema y visualizar los distntos módulos registro de ventas, inventario, clientes y reportes</t>
  </si>
  <si>
    <t>El usuario accede al sistema, y se le despliega la interfaz principal</t>
  </si>
  <si>
    <t>"Ingresando al sistema" una vez que el usuario ingrese</t>
  </si>
  <si>
    <t>El usuario accede al sistema, y se le despliega la interfaz principal y selecciona el formulario al que desea acceder</t>
  </si>
  <si>
    <t>REQ008</t>
  </si>
  <si>
    <t>REQ009</t>
  </si>
  <si>
    <t>Generación reportes Excel</t>
  </si>
  <si>
    <t>generar reposrtes por ventas, sector, venta por cliente</t>
  </si>
  <si>
    <t>Generar reportes de ventas, sector y ranking del cliente con mas compras, en Excel con tablas dinámicas</t>
  </si>
  <si>
    <t>Ingresar al formuario de reportes y seleccionar el tipo de reporte que desea generar, definir el periodo y el sistema genera el reporte en Excel</t>
  </si>
  <si>
    <t>Generar el tipo de reporte, con el periodo seleccionado</t>
  </si>
  <si>
    <t>"Generando reporte" cuando se cree el reporte en Excel</t>
  </si>
  <si>
    <t>Generación de Reportes Excel</t>
  </si>
  <si>
    <t>Modificación de registros</t>
  </si>
  <si>
    <t>Modificar la información registrada en los diferentes modulos del sistema</t>
  </si>
  <si>
    <t>Coregir o actualizar datos previamente ingresados en los distintos modulos de sistema</t>
  </si>
  <si>
    <t>Ingreso al módulo correspondiente, muestra los registros almacenados, selecciona lo que desea modificar, e ingresa los datos correspondiente y el sistema actualiza la información</t>
  </si>
  <si>
    <t>Modificar datos previamente ingresados</t>
  </si>
  <si>
    <t>"Modificación realizada correctamente" cuando el usuario termine de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</si>
</sst>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  <font>
      <sz val="10"/>
      <color theme="0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164" fontId="13" fillId="0" borderId="24" xfId="0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0" fontId="20" fillId="6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23" fillId="8" borderId="24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 wrapText="1"/>
    </xf>
    <xf numFmtId="164" fontId="23" fillId="8" borderId="24" xfId="0" applyNumberFormat="1" applyFont="1" applyFill="1" applyBorder="1" applyAlignment="1">
      <alignment horizontal="center" vertical="center" wrapText="1"/>
    </xf>
    <xf numFmtId="0" fontId="24" fillId="8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3"/>
  <sheetViews>
    <sheetView showGridLines="0" tabSelected="1" zoomScale="56" zoomScaleNormal="70" workbookViewId="0">
      <selection activeCell="G13" sqref="G13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1" t="s">
        <v>39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0</v>
      </c>
      <c r="C5" s="5" t="s">
        <v>1</v>
      </c>
      <c r="D5" s="3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2:16" ht="63" customHeight="1" x14ac:dyDescent="0.25">
      <c r="B6" s="36" t="s">
        <v>14</v>
      </c>
      <c r="C6" s="38" t="s">
        <v>88</v>
      </c>
      <c r="D6" s="38" t="s">
        <v>89</v>
      </c>
      <c r="E6" s="38" t="s">
        <v>90</v>
      </c>
      <c r="F6" s="38" t="s">
        <v>43</v>
      </c>
      <c r="G6" s="38" t="s">
        <v>93</v>
      </c>
      <c r="H6" s="38" t="s">
        <v>37</v>
      </c>
      <c r="I6" s="38">
        <v>2</v>
      </c>
      <c r="J6" s="34"/>
      <c r="K6" s="33" t="s">
        <v>15</v>
      </c>
      <c r="L6" s="33" t="s">
        <v>16</v>
      </c>
      <c r="M6" s="38" t="s">
        <v>91</v>
      </c>
      <c r="N6" s="38" t="s">
        <v>92</v>
      </c>
      <c r="O6" s="38" t="s">
        <v>86</v>
      </c>
    </row>
    <row r="7" spans="2:16" ht="67.5" customHeight="1" x14ac:dyDescent="0.25">
      <c r="B7" s="40" t="s">
        <v>31</v>
      </c>
      <c r="C7" s="38" t="s">
        <v>80</v>
      </c>
      <c r="D7" s="38" t="s">
        <v>81</v>
      </c>
      <c r="E7" s="38" t="s">
        <v>83</v>
      </c>
      <c r="F7" s="38" t="s">
        <v>43</v>
      </c>
      <c r="G7" s="38" t="s">
        <v>82</v>
      </c>
      <c r="H7" s="38" t="s">
        <v>37</v>
      </c>
      <c r="I7" s="38">
        <v>2</v>
      </c>
      <c r="J7" s="34"/>
      <c r="K7" s="33" t="s">
        <v>15</v>
      </c>
      <c r="L7" s="33" t="s">
        <v>16</v>
      </c>
      <c r="M7" s="37" t="s">
        <v>84</v>
      </c>
      <c r="N7" s="38" t="s">
        <v>85</v>
      </c>
      <c r="O7" s="38" t="s">
        <v>86</v>
      </c>
    </row>
    <row r="8" spans="2:16" ht="77.25" customHeight="1" x14ac:dyDescent="0.25">
      <c r="B8" s="40" t="s">
        <v>32</v>
      </c>
      <c r="C8" s="38" t="s">
        <v>40</v>
      </c>
      <c r="D8" s="38" t="s">
        <v>41</v>
      </c>
      <c r="E8" s="38" t="s">
        <v>42</v>
      </c>
      <c r="F8" s="38" t="s">
        <v>43</v>
      </c>
      <c r="G8" s="38" t="s">
        <v>52</v>
      </c>
      <c r="H8" s="38" t="s">
        <v>37</v>
      </c>
      <c r="I8" s="40">
        <v>3</v>
      </c>
      <c r="J8" s="34"/>
      <c r="K8" s="33" t="s">
        <v>15</v>
      </c>
      <c r="L8" s="33" t="s">
        <v>16</v>
      </c>
      <c r="M8" s="38" t="s">
        <v>46</v>
      </c>
      <c r="N8" s="38" t="s">
        <v>48</v>
      </c>
      <c r="O8" s="38" t="s">
        <v>47</v>
      </c>
      <c r="P8" s="28"/>
    </row>
    <row r="9" spans="2:16" ht="75" customHeight="1" x14ac:dyDescent="0.25">
      <c r="B9" s="40" t="s">
        <v>33</v>
      </c>
      <c r="C9" s="38" t="s">
        <v>49</v>
      </c>
      <c r="D9" s="38" t="s">
        <v>50</v>
      </c>
      <c r="E9" s="38" t="s">
        <v>51</v>
      </c>
      <c r="F9" s="38" t="s">
        <v>43</v>
      </c>
      <c r="G9" s="38" t="s">
        <v>53</v>
      </c>
      <c r="H9" s="38" t="s">
        <v>37</v>
      </c>
      <c r="I9" s="33">
        <v>2</v>
      </c>
      <c r="J9" s="34"/>
      <c r="K9" s="33" t="s">
        <v>15</v>
      </c>
      <c r="L9" s="33" t="s">
        <v>16</v>
      </c>
      <c r="M9" s="37" t="s">
        <v>54</v>
      </c>
      <c r="N9" s="39" t="s">
        <v>55</v>
      </c>
      <c r="O9" s="38" t="s">
        <v>56</v>
      </c>
      <c r="P9" s="28"/>
    </row>
    <row r="10" spans="2:16" ht="71.25" customHeight="1" x14ac:dyDescent="0.25">
      <c r="B10" s="40" t="s">
        <v>34</v>
      </c>
      <c r="C10" s="38" t="s">
        <v>57</v>
      </c>
      <c r="D10" s="38" t="s">
        <v>58</v>
      </c>
      <c r="E10" s="38" t="s">
        <v>59</v>
      </c>
      <c r="F10" s="38" t="s">
        <v>43</v>
      </c>
      <c r="G10" s="38" t="s">
        <v>60</v>
      </c>
      <c r="H10" s="38" t="s">
        <v>38</v>
      </c>
      <c r="I10" s="40" t="s">
        <v>61</v>
      </c>
      <c r="J10" s="34"/>
      <c r="K10" s="33" t="s">
        <v>15</v>
      </c>
      <c r="L10" s="33" t="s">
        <v>16</v>
      </c>
      <c r="M10" s="38" t="s">
        <v>62</v>
      </c>
      <c r="N10" s="38" t="s">
        <v>63</v>
      </c>
      <c r="O10" s="38" t="s">
        <v>64</v>
      </c>
    </row>
    <row r="11" spans="2:16" ht="114" customHeight="1" x14ac:dyDescent="0.25">
      <c r="B11" s="95" t="s">
        <v>35</v>
      </c>
      <c r="C11" s="96" t="s">
        <v>65</v>
      </c>
      <c r="D11" s="96" t="s">
        <v>66</v>
      </c>
      <c r="E11" s="96" t="s">
        <v>67</v>
      </c>
      <c r="F11" s="96" t="s">
        <v>43</v>
      </c>
      <c r="G11" s="96" t="s">
        <v>70</v>
      </c>
      <c r="H11" s="96" t="s">
        <v>38</v>
      </c>
      <c r="I11" s="95" t="s">
        <v>44</v>
      </c>
      <c r="J11" s="97"/>
      <c r="K11" s="96" t="s">
        <v>15</v>
      </c>
      <c r="L11" s="96" t="s">
        <v>16</v>
      </c>
      <c r="M11" s="96" t="s">
        <v>71</v>
      </c>
      <c r="N11" s="96" t="s">
        <v>68</v>
      </c>
      <c r="O11" s="96" t="s">
        <v>69</v>
      </c>
    </row>
    <row r="12" spans="2:16" ht="81.45" customHeight="1" x14ac:dyDescent="0.25">
      <c r="B12" s="95" t="s">
        <v>36</v>
      </c>
      <c r="C12" s="96" t="s">
        <v>72</v>
      </c>
      <c r="D12" s="96" t="s">
        <v>73</v>
      </c>
      <c r="E12" s="96" t="s">
        <v>74</v>
      </c>
      <c r="F12" s="96" t="s">
        <v>43</v>
      </c>
      <c r="G12" s="96" t="s">
        <v>75</v>
      </c>
      <c r="H12" s="96" t="s">
        <v>87</v>
      </c>
      <c r="I12" s="95" t="s">
        <v>76</v>
      </c>
      <c r="J12" s="97"/>
      <c r="K12" s="96" t="s">
        <v>15</v>
      </c>
      <c r="L12" s="96" t="s">
        <v>16</v>
      </c>
      <c r="M12" s="96" t="s">
        <v>77</v>
      </c>
      <c r="N12" s="96" t="s">
        <v>78</v>
      </c>
      <c r="O12" s="96" t="s">
        <v>79</v>
      </c>
    </row>
    <row r="13" spans="2:16" ht="81.45" customHeight="1" x14ac:dyDescent="0.25">
      <c r="B13" s="95" t="s">
        <v>94</v>
      </c>
      <c r="C13" s="96" t="s">
        <v>96</v>
      </c>
      <c r="D13" s="96" t="s">
        <v>97</v>
      </c>
      <c r="E13" s="96" t="s">
        <v>98</v>
      </c>
      <c r="F13" s="96" t="s">
        <v>43</v>
      </c>
      <c r="G13" s="96" t="s">
        <v>99</v>
      </c>
      <c r="H13" s="96" t="s">
        <v>37</v>
      </c>
      <c r="I13" s="96" t="s">
        <v>45</v>
      </c>
      <c r="J13" s="97"/>
      <c r="K13" s="96" t="s">
        <v>15</v>
      </c>
      <c r="L13" s="96" t="s">
        <v>16</v>
      </c>
      <c r="M13" s="96" t="s">
        <v>100</v>
      </c>
      <c r="N13" s="96" t="s">
        <v>101</v>
      </c>
      <c r="O13" s="96" t="s">
        <v>102</v>
      </c>
    </row>
    <row r="14" spans="2:16" ht="81.45" customHeight="1" x14ac:dyDescent="0.25">
      <c r="B14" s="95" t="s">
        <v>95</v>
      </c>
      <c r="C14" s="96" t="s">
        <v>103</v>
      </c>
      <c r="D14" s="96" t="s">
        <v>104</v>
      </c>
      <c r="E14" s="96" t="s">
        <v>105</v>
      </c>
      <c r="F14" s="96" t="s">
        <v>43</v>
      </c>
      <c r="G14" s="98" t="s">
        <v>106</v>
      </c>
      <c r="H14" s="96" t="s">
        <v>87</v>
      </c>
      <c r="I14" s="96" t="s">
        <v>61</v>
      </c>
      <c r="J14" s="97"/>
      <c r="K14" s="96" t="s">
        <v>15</v>
      </c>
      <c r="L14" s="96" t="s">
        <v>16</v>
      </c>
      <c r="M14" s="96" t="s">
        <v>107</v>
      </c>
      <c r="N14" s="96" t="s">
        <v>108</v>
      </c>
      <c r="O14" s="98" t="s">
        <v>102</v>
      </c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2"/>
      <c r="N15" s="32"/>
      <c r="O15" s="32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19.5" customHeight="1" x14ac:dyDescent="0.25">
      <c r="I23" s="3"/>
      <c r="J23" s="3"/>
      <c r="K23" s="6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25">
      <c r="I28" s="1"/>
      <c r="J28" s="1"/>
      <c r="K28" s="7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/>
      <c r="L31" s="3"/>
    </row>
    <row r="32" spans="2:15" ht="19.5" customHeight="1" x14ac:dyDescent="0.3">
      <c r="I32" s="1"/>
      <c r="J32" s="1"/>
      <c r="K32" s="2" t="s">
        <v>15</v>
      </c>
      <c r="L32" s="1" t="s">
        <v>16</v>
      </c>
      <c r="M32" s="4"/>
    </row>
    <row r="33" spans="9:13" ht="19.5" customHeight="1" x14ac:dyDescent="0.3">
      <c r="I33" s="1"/>
      <c r="J33" s="1"/>
      <c r="K33" s="2" t="s">
        <v>17</v>
      </c>
      <c r="L33" s="1" t="s">
        <v>18</v>
      </c>
      <c r="M33" s="4"/>
    </row>
    <row r="34" spans="9:13" ht="19.5" customHeight="1" x14ac:dyDescent="0.3">
      <c r="I34" s="1"/>
      <c r="J34" s="1"/>
      <c r="K34" s="2" t="s">
        <v>19</v>
      </c>
      <c r="L34" s="1" t="s">
        <v>20</v>
      </c>
      <c r="M34" s="4"/>
    </row>
    <row r="35" spans="9:13" ht="15.75" customHeight="1" x14ac:dyDescent="0.3">
      <c r="I35" s="1"/>
      <c r="J35" s="1"/>
      <c r="K35" s="2"/>
      <c r="L35" s="1" t="s">
        <v>21</v>
      </c>
      <c r="M35" s="4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" customHeight="1" x14ac:dyDescent="0.3">
      <c r="I1001" s="1"/>
      <c r="J1001" s="1"/>
      <c r="K1001" s="2"/>
      <c r="L1001" s="3"/>
    </row>
    <row r="1002" spans="9:12" ht="15" customHeight="1" x14ac:dyDescent="0.25">
      <c r="I1002" s="3"/>
      <c r="J1002" s="3"/>
      <c r="K1002" s="6"/>
      <c r="L1002" s="3"/>
    </row>
    <row r="1003" spans="9:12" ht="15" customHeight="1" x14ac:dyDescent="0.25">
      <c r="I1003" s="3"/>
      <c r="J1003" s="3"/>
      <c r="K1003" s="6"/>
      <c r="L1003" s="3"/>
    </row>
  </sheetData>
  <mergeCells count="1">
    <mergeCell ref="B3:O3"/>
  </mergeCells>
  <phoneticPr fontId="22" type="noConversion"/>
  <dataValidations count="2">
    <dataValidation type="list" allowBlank="1" showErrorMessage="1" sqref="L6:L22" xr:uid="{00000000-0002-0000-0000-000000000000}">
      <formula1>$L$32:$L$35</formula1>
    </dataValidation>
    <dataValidation type="list" allowBlank="1" showErrorMessage="1" sqref="K6:K22" xr:uid="{00000000-0002-0000-0000-000001000000}">
      <formula1>$K$32:$K$34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62" t="s">
        <v>22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0</v>
      </c>
      <c r="D9" s="11"/>
      <c r="E9" s="65" t="s">
        <v>23</v>
      </c>
      <c r="F9" s="64"/>
      <c r="G9" s="11"/>
      <c r="H9" s="65" t="s">
        <v>10</v>
      </c>
      <c r="I9" s="64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14</v>
      </c>
      <c r="D10" s="14"/>
      <c r="E10" s="66" t="str">
        <f>VLOOKUP(C10,'Formato descripción HU'!B6:O22,5,0)</f>
        <v>Administrador "Los Huertos del Juanca"</v>
      </c>
      <c r="F10" s="67"/>
      <c r="G10" s="15"/>
      <c r="H10" s="68" t="str">
        <f>VLOOKUP(C10,'Formato descripción HU'!B6:O22,11,0)</f>
        <v>No iniciado</v>
      </c>
      <c r="I10" s="64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24</v>
      </c>
      <c r="D12" s="14"/>
      <c r="E12" s="65" t="s">
        <v>9</v>
      </c>
      <c r="F12" s="64"/>
      <c r="G12" s="15"/>
      <c r="H12" s="65" t="s">
        <v>25</v>
      </c>
      <c r="I12" s="64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HU'!B6:O22,8,0)</f>
        <v>2</v>
      </c>
      <c r="D13" s="14"/>
      <c r="E13" s="68" t="str">
        <f>VLOOKUP(C10,'Formato descripción HU'!B6:O22,10,0)</f>
        <v>Alta</v>
      </c>
      <c r="F13" s="64"/>
      <c r="G13" s="15"/>
      <c r="H13" s="68" t="str">
        <f>VLOOKUP(C10,'Formato descripción HU'!B6:O22,7,0)</f>
        <v>Eatan Ayala</v>
      </c>
      <c r="I13" s="64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43" t="s">
        <v>26</v>
      </c>
      <c r="D15" s="53" t="str">
        <f>VLOOKUP(C10,'Formato descripción HU'!B6:O22,3,0)</f>
        <v>Permitir ver los módulos del sistema existentes</v>
      </c>
      <c r="E15" s="47"/>
      <c r="F15" s="12"/>
      <c r="G15" s="43" t="s">
        <v>27</v>
      </c>
      <c r="H15" s="53" t="str">
        <f>VLOOKUP(C10,'Formato descripción HU'!B6:O22,4,0)</f>
        <v>Ingresar al sistema y visualizar los distntos módulos registro de ventas, inventario, clientes y reportes</v>
      </c>
      <c r="I15" s="77"/>
      <c r="J15" s="47"/>
      <c r="K15" s="12"/>
      <c r="L15" s="79" t="s">
        <v>28</v>
      </c>
      <c r="M15" s="80" t="str">
        <f>VLOOKUP(C10,'Formato descripción HU'!B6:O22,6,0)</f>
        <v>El usuario accede al sistema, y se le despliega la interfaz principal y selecciona el formulario al que desea acceder</v>
      </c>
      <c r="N15" s="81"/>
      <c r="O15" s="82"/>
      <c r="P15" s="27"/>
    </row>
    <row r="16" spans="2:16" ht="19.5" customHeight="1" x14ac:dyDescent="0.25">
      <c r="B16" s="26"/>
      <c r="C16" s="44"/>
      <c r="D16" s="51"/>
      <c r="E16" s="52"/>
      <c r="F16" s="12"/>
      <c r="G16" s="44"/>
      <c r="H16" s="51"/>
      <c r="I16" s="42"/>
      <c r="J16" s="52"/>
      <c r="K16" s="12"/>
      <c r="L16" s="44"/>
      <c r="M16" s="83"/>
      <c r="N16" s="84"/>
      <c r="O16" s="85"/>
      <c r="P16" s="27"/>
    </row>
    <row r="17" spans="2:16" ht="19.5" customHeight="1" x14ac:dyDescent="0.25">
      <c r="B17" s="26"/>
      <c r="C17" s="45"/>
      <c r="D17" s="48"/>
      <c r="E17" s="49"/>
      <c r="F17" s="12"/>
      <c r="G17" s="45"/>
      <c r="H17" s="48"/>
      <c r="I17" s="78"/>
      <c r="J17" s="49"/>
      <c r="K17" s="12"/>
      <c r="L17" s="45"/>
      <c r="M17" s="86"/>
      <c r="N17" s="87"/>
      <c r="O17" s="88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46" t="s">
        <v>29</v>
      </c>
      <c r="D19" s="47"/>
      <c r="E19" s="89" t="str">
        <f>VLOOKUP(C10,'Formato descripción HU'!B6:O21,14,0)</f>
        <v>Registro de información del cliente</v>
      </c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27"/>
    </row>
    <row r="20" spans="2:16" ht="19.5" customHeight="1" x14ac:dyDescent="0.25">
      <c r="B20" s="26"/>
      <c r="C20" s="48"/>
      <c r="D20" s="49"/>
      <c r="E20" s="92"/>
      <c r="F20" s="93"/>
      <c r="G20" s="93"/>
      <c r="H20" s="93"/>
      <c r="I20" s="93"/>
      <c r="J20" s="93"/>
      <c r="K20" s="93"/>
      <c r="L20" s="93"/>
      <c r="M20" s="93"/>
      <c r="N20" s="93"/>
      <c r="O20" s="94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50" t="s">
        <v>30</v>
      </c>
      <c r="D22" s="47"/>
      <c r="E22" s="53" t="str">
        <f>VLOOKUP(C10,'Formato descripción HU'!B6:O22,12,0)</f>
        <v>El usuario accede al sistema, y se le despliega la interfaz principal</v>
      </c>
      <c r="F22" s="54"/>
      <c r="G22" s="54"/>
      <c r="H22" s="55"/>
      <c r="I22" s="12"/>
      <c r="J22" s="50" t="s">
        <v>12</v>
      </c>
      <c r="K22" s="47"/>
      <c r="L22" s="53" t="str">
        <f>VLOOKUP(C10,'Formato descripción HU'!B6:O22,13,0)</f>
        <v>"Ingresando al sistema" una vez que el usuario ingrese</v>
      </c>
      <c r="M22" s="69"/>
      <c r="N22" s="69"/>
      <c r="O22" s="70"/>
      <c r="P22" s="27"/>
    </row>
    <row r="23" spans="2:16" ht="19.5" customHeight="1" x14ac:dyDescent="0.25">
      <c r="B23" s="26"/>
      <c r="C23" s="51"/>
      <c r="D23" s="52"/>
      <c r="E23" s="56"/>
      <c r="F23" s="57"/>
      <c r="G23" s="57"/>
      <c r="H23" s="58"/>
      <c r="I23" s="12"/>
      <c r="J23" s="51"/>
      <c r="K23" s="52"/>
      <c r="L23" s="71"/>
      <c r="M23" s="72"/>
      <c r="N23" s="72"/>
      <c r="O23" s="73"/>
      <c r="P23" s="27"/>
    </row>
    <row r="24" spans="2:16" ht="19.5" customHeight="1" x14ac:dyDescent="0.25">
      <c r="B24" s="26"/>
      <c r="C24" s="48"/>
      <c r="D24" s="49"/>
      <c r="E24" s="59"/>
      <c r="F24" s="60"/>
      <c r="G24" s="60"/>
      <c r="H24" s="61"/>
      <c r="I24" s="12"/>
      <c r="J24" s="48"/>
      <c r="K24" s="49"/>
      <c r="L24" s="74"/>
      <c r="M24" s="75"/>
      <c r="N24" s="75"/>
      <c r="O24" s="76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Mateo Ct</cp:lastModifiedBy>
  <cp:revision/>
  <cp:lastPrinted>2022-11-25T05:25:55Z</cp:lastPrinted>
  <dcterms:created xsi:type="dcterms:W3CDTF">2019-10-21T15:37:14Z</dcterms:created>
  <dcterms:modified xsi:type="dcterms:W3CDTF">2026-05-08T18:24:50Z</dcterms:modified>
  <cp:category/>
  <cp:contentStatus/>
</cp:coreProperties>
</file>