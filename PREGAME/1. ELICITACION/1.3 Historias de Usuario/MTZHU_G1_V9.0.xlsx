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07D83D-1B77-443D-B6C3-C9F6B475D3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<sst xmlns="http://schemas.openxmlformats.org/spreadsheetml/2006/main" count="168" uniqueCount="125">
  <si>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</si>
  <si>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</si>
  <si>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</si>
  <si>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</si>
  <si>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</si>
  <si>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</si>
  <si>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</si>
  <si>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</si>
  <si>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</si>
  <si>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</si>
  <si>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</si>
  <si>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</si>
  <si>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</si>
  <si>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</si>
  <si>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</si>
  <si>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</si>
  <si>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</si>
  <si>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</si>
  <si>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</si>
  <si>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</si>
  <si>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</si>
  <si>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</si>
  <si>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</si>
  <si>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</si>
  <si>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</si>
  <si>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</si>
  <si>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</si>
  <si>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</si>
  <si>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</si>
  <si>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</si>
  <si>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</si>
  <si>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</si>
  <si>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</si>
  <si>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</si>
  <si>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</si>
  <si>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</si>
  <si>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</si>
  <si>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</si>
  <si>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</si>
  <si>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</si>
  <si>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</si>
  <si>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</si>
  <si>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</si>
  <si>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</si>
  <si>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Mezcla de stock y precios.</t>
  </si>
  <si>
    <t>El programa deberá registrar productos y mostrar el catálogo desglosado por tamaño, empaque y precio de venta.</t>
  </si>
  <si>
    <t>Agilizar la toma de pedidos y asegurar la precisión del inventario físico.</t>
  </si>
  <si>
    <t>1. Crear el formulario de registro con selectores de Peso y Calibre.
2. Diseñar la tabla visual con el desglose jerárquico de variantes.
3. Programar el botón Guardar y la alerta de confirmación.</t>
  </si>
  <si>
    <t>Catálogo de Productos</t>
  </si>
  <si>
    <t>Dado que el Admin está en Catálogo, Cuando guarda una Frutilla con variante "Balde 12kg - Mediana", entonces la tabla muestra el desglose independiente con su precio.</t>
  </si>
  <si>
    <t>Vincular este catálogo con el formulario de ventas (REQ007) para cargar los productos automáticamente en la lista desplegable.</t>
  </si>
  <si>
    <t>Desorientación al navegar entre módulos.</t>
  </si>
  <si>
    <t>Diseñar un menú principal intuitivo para redireccionar al usuario a las distintas secciones del sistema.</t>
  </si>
  <si>
    <t>Permitir al administrador acceder fluidamente a las funciones operativas del negocio.</t>
  </si>
  <si>
    <t>Administrador "Los Huertos del JuanCa"</t>
  </si>
  <si>
    <t>1. Diseñar el Dashboard principal con botones de navegación
2. Programar las rutas de redirección a los formularios.
3. Agregar validaciones de visualización.</t>
  </si>
  <si>
    <t>Dado que el Admin inicia el sistema, Cuando da clic en un botón del menú, Entonces se despliega el formulario correspondiente.</t>
  </si>
  <si>
    <t>Interfaz base para conectar todos los módulos subsecuentes.</t>
  </si>
  <si>
    <t>Menú Principal de Navegación</t>
  </si>
  <si>
    <t>Pérdida de datos de clientes.</t>
  </si>
  <si>
    <t>Almacenar los datos personales básicos del cliente mediante una ficha de registro único.</t>
  </si>
  <si>
    <t>Identificar de manera exacta a los compradores frecuentes y rastrear sus sectores de entrega.</t>
  </si>
  <si>
    <t>Datos de clientes desactualizados.</t>
  </si>
  <si>
    <t>Modificar la información de los clientes registrados a través de su identificador único.</t>
  </si>
  <si>
    <t>Mantener los números de contacto y direcciones actualizadas para evitar fallos de entrega.</t>
  </si>
  <si>
    <t>Permanencia de registros erróneos.</t>
  </si>
  <si>
    <t>Dar de baja lógica del sistema a los clientes inactivos o duplicados.</t>
  </si>
  <si>
    <t>Evitar la saturación visual del listado de clientes activos sin perder su historial de transacciones.</t>
  </si>
  <si>
    <t>Olvido de cotizaciones a interesados.</t>
  </si>
  <si>
    <t>Registrar personas interesadas en los productos sin convertirlas inmediatamente en clientes activos.</t>
  </si>
  <si>
    <t>Mantener un seguimiento comercial ordenado de los prospectos del huerto.</t>
  </si>
  <si>
    <t>Información de interesados desactualizada.</t>
  </si>
  <si>
    <t>Actualizar los datos de contacto o gestionar la baja de los clientes potenciales.</t>
  </si>
  <si>
    <t>Mantener depurada la base de prospectos y habilitar su promoción a clientes activos.</t>
  </si>
  <si>
    <t>Descontrol en ingresos diarios.</t>
  </si>
  <si>
    <t>Registrar las transacciones diarias asociándolas al cliente, tipo de pago y la variante exacta del producto.</t>
  </si>
  <si>
    <t>Conocer al cierre de jornada las ganancias exactas y el desglose de productos vendidos.</t>
  </si>
  <si>
    <t>Katerine Caizaluisa</t>
  </si>
  <si>
    <t>Lentitud al emitir comprobantes físicos.</t>
  </si>
  <si>
    <t>Generar una nota de venta digital con el desglose detallado de la compra para impresión.</t>
  </si>
  <si>
    <t>Entregar un comprobante físico o digital claro al cliente inmediatamente después de su pago.</t>
  </si>
  <si>
    <t>Dificultad para analizar ventas mensuales.</t>
  </si>
  <si>
    <t>Exportar los datos consolidados de ventas y clientes a un archivo Excel estructurado con tablas dinámicas.</t>
  </si>
  <si>
    <t>Evaluar la rentabilidad del negocio y el ranking de productos más vendidos mediante reportes ágiles.</t>
  </si>
  <si>
    <t>1. Crear formulario con campos de cédula, nombre, teléfono y sector.
2. Programar la autogeneración del código único de cliente.
3. Guardar registro en base de datos.</t>
  </si>
  <si>
    <t>1. Implementar buscador de clientes por ID o cédula.
2. Precargar datos actuales en los campos editables. 
3. Guardar cambios actualizados.</t>
  </si>
  <si>
    <t>1. Añadir botón "Eliminar" en la fila del cliente.
2. Programar ventana de confirmación antes del borrado.
3. Cambiar estado a "Inactivo" en la base de datos.</t>
  </si>
  <si>
    <t>1. Diseñar el formulario de registro rápido de contactos potenciales.
2. Agregar campo de observaciones e interés.
3. Guardar registro con etiqueta "Potencial".</t>
  </si>
  <si>
    <t>1. Buscar prospecto y cargar datos en pantalla.
2. Habilitar campos para edición o botón para cambio de estado.
3. Guardar modificaciones.</t>
  </si>
  <si>
    <t>1. Crear el formulario de ventas con fecha y tipo de pago.
2. Enlazar dropdown dinámico de productos-variantes (REQ002). 
3. Programar el cálculo automático del total de la venta.</t>
  </si>
  <si>
    <t>1. Desarrollar la plantilla de impresión de la nota de venta.
2. Mapear datos de la venta, cliente y variantes compradas.
3. Programar la exportación/envío a PDF.</t>
  </si>
  <si>
    <t>1. Programar filtros de reporte por periodos de fechas.
2. Diseñar la estructura de exportación a Excel en hojas separadas.
3. Generar gráficos dinámicos automáticos.</t>
  </si>
  <si>
    <t>Dado que el Admin llena la ficha, Cuando da clic en Guardar, Entonces el sistema genera su ID y lo muestra en la lista.</t>
  </si>
  <si>
    <t>Campos obligatorios: cédula y sector para sectorización de envíos.</t>
  </si>
  <si>
    <t>Dado que el Admin edita un campo precargado, Cuando guarda, Entonces los cambios se reflejan inmediatamente en la base de datos.</t>
  </si>
  <si>
    <t>Requiere que el cliente exista previamente en el sistema.</t>
  </si>
  <si>
    <t>Dado que el Admin confirma la eliminación, Cuando el sistema procesa, Entonces el cliente desaparece de la vista activa de ventas.</t>
  </si>
  <si>
    <t>Importante: Aplicar borrado lógico (estado inactivo) para no romper la integridad referencial.</t>
  </si>
  <si>
    <t>Dado que se registran datos básicos, Cuando se guarda, Entonces se almacena en una tabla independiente de clientes potenciales.</t>
  </si>
  <si>
    <t>Almacena prospectos sin alterar las métricas de clientes reales.</t>
  </si>
  <si>
    <t>Dado que el prospecto cambia de estado, Cuando se actualiza, Entonces se modifica su estado en la base de datos con éxito.</t>
  </si>
  <si>
    <t>Incluye la opción de "promover" el contacto a cliente activo.</t>
  </si>
  <si>
    <t>Dado que el Admin ingresa productos y cantidades, Cuando guarda la venta, Entonces el sistema calcula el total y descuenta stock.</t>
  </si>
  <si>
    <t>Tipos de pago: Efectivo, Transferencia o Cuenta por Pagar.</t>
  </si>
  <si>
    <t>Dado que una venta fue finalizada, Cuando se presiona "Imprimir nota", Entonces el sistema genera el documento para impresión.</t>
  </si>
  <si>
    <t>Si la venta es Cuenta por Pagar, debe reflejarse como pendiente en el PDF.</t>
  </si>
  <si>
    <t>Dado que existen datos en el periodo elegido, Cuando se da clic en "Generar Reporte", Entonces se descarga el archivo Excel configurado.</t>
  </si>
  <si>
    <t>Los reportes deben agrupar ventas por sector y consumo del cliente.</t>
  </si>
  <si>
    <t>Registro de Clientes</t>
  </si>
  <si>
    <t>Modificación Clientes</t>
  </si>
  <si>
    <t>Baja de Clientes Inactivos</t>
  </si>
  <si>
    <t>Registro Clientes Potenciales</t>
  </si>
  <si>
    <t>Gestión de Clientes Potenciales</t>
  </si>
  <si>
    <t>Registro Ventas</t>
  </si>
  <si>
    <t>Emisión Nota Venta</t>
  </si>
  <si>
    <t>Exportar Reportes Excel</t>
  </si>
  <si>
    <t>REQ010</t>
  </si>
  <si>
    <t>REQ011</t>
  </si>
  <si>
    <t>Los datos guardados en texto no se pueden observar fácilmente</t>
  </si>
  <si>
    <t>Reemplazar los datos guardados en texto a un archivo Excel</t>
  </si>
  <si>
    <t>Abrir y encontrar los datos del  emprendimiento de forma sencilla en Excel</t>
  </si>
  <si>
    <t>1. Leer los archivos de texto.                  2. Organizar los datos en Excel.          3. Reemplazar el guardado en texto por Excel</t>
  </si>
  <si>
    <t>Dado que se guarda un registro, Cuando el proceso termina, Entonces el dato es insertado en el archivo Excel</t>
  </si>
  <si>
    <t>Se realiza después de terminar el REQ008</t>
  </si>
  <si>
    <t>Almacenamiento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</si>
</sst>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name val="Arial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i/>
      <sz val="16"/>
      <color rgb="FF000000"/>
      <name val="Calibri"/>
      <charset val="134"/>
    </font>
    <font>
      <sz val="11"/>
      <color rgb="FF000000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name val="Arial"/>
      <charset val="134"/>
    </font>
    <font>
      <b/>
      <sz val="11"/>
      <color rgb="FFFFFFFF"/>
      <name val="Calibri"/>
      <charset val="134"/>
    </font>
    <font>
      <b/>
      <sz val="11"/>
      <color rgb="FFFA7D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b/>
      <i/>
      <sz val="12"/>
      <color rgb="FF9C6500"/>
      <name val="Calibri"/>
      <charset val="134"/>
    </font>
    <font>
      <sz val="11"/>
      <color rgb="FF000000"/>
      <name val="Calibri"/>
      <family val="2"/>
    </font>
    <font>
      <sz val="8"/>
      <name val="Arial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1" fillId="0" borderId="6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" fillId="5" borderId="4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4"/>
  <sheetViews>
    <sheetView showGridLines="0" topLeftCell="C10" zoomScale="116" workbookViewId="0">
      <selection activeCell="O15" sqref="O15"/>
    </sheetView>
  </sheetViews>
  <sheetFormatPr baseColWidth="10" defaultColWidth="12" defaultRowHeight="15" customHeight="1"/>
  <cols>
    <col min="1" max="1" width="2" customWidth="1"/>
    <col min="2" max="2" width="8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3" width="32.19921875" customWidth="1"/>
    <col min="14" max="15" width="20.59765625" customWidth="1"/>
    <col min="16" max="26" width="9.19921875" customWidth="1"/>
  </cols>
  <sheetData>
    <row r="1" spans="2:16" ht="14.4">
      <c r="I1" s="1"/>
      <c r="J1" s="1"/>
      <c r="K1" s="2"/>
      <c r="L1" s="3"/>
    </row>
    <row r="2" spans="2:16" ht="14.4">
      <c r="I2" s="1"/>
      <c r="J2" s="1"/>
      <c r="K2" s="2"/>
      <c r="L2" s="3"/>
    </row>
    <row r="3" spans="2:16" ht="45" customHeight="1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4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0.45" customHeight="1">
      <c r="B6" s="40" t="s">
        <v>15</v>
      </c>
      <c r="C6" s="8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28</v>
      </c>
      <c r="I6" s="8">
        <v>11</v>
      </c>
      <c r="J6" s="9"/>
      <c r="K6" s="8" t="s">
        <v>18</v>
      </c>
      <c r="L6" s="8" t="s">
        <v>32</v>
      </c>
      <c r="M6" s="8" t="s">
        <v>56</v>
      </c>
      <c r="N6" s="8" t="s">
        <v>57</v>
      </c>
      <c r="O6" s="38" t="s">
        <v>58</v>
      </c>
    </row>
    <row r="7" spans="2:16" ht="90.45" customHeight="1">
      <c r="B7" s="40" t="s">
        <v>20</v>
      </c>
      <c r="C7" s="8" t="s">
        <v>44</v>
      </c>
      <c r="D7" s="8" t="s">
        <v>45</v>
      </c>
      <c r="E7" s="8" t="s">
        <v>46</v>
      </c>
      <c r="F7" s="8" t="s">
        <v>16</v>
      </c>
      <c r="G7" s="8" t="s">
        <v>47</v>
      </c>
      <c r="H7" s="8" t="s">
        <v>17</v>
      </c>
      <c r="I7" s="8">
        <v>10</v>
      </c>
      <c r="J7" s="9"/>
      <c r="K7" s="8" t="s">
        <v>18</v>
      </c>
      <c r="L7" s="8" t="s">
        <v>32</v>
      </c>
      <c r="M7" s="8" t="s">
        <v>49</v>
      </c>
      <c r="N7" s="8" t="s">
        <v>50</v>
      </c>
      <c r="O7" s="8" t="s">
        <v>48</v>
      </c>
    </row>
    <row r="8" spans="2:16" ht="88.5" customHeight="1">
      <c r="B8" s="7" t="s">
        <v>22</v>
      </c>
      <c r="C8" s="8" t="s">
        <v>59</v>
      </c>
      <c r="D8" s="8" t="s">
        <v>60</v>
      </c>
      <c r="E8" s="8" t="s">
        <v>61</v>
      </c>
      <c r="F8" s="8" t="s">
        <v>54</v>
      </c>
      <c r="G8" s="38" t="s">
        <v>84</v>
      </c>
      <c r="H8" s="8" t="s">
        <v>77</v>
      </c>
      <c r="I8" s="38">
        <v>9</v>
      </c>
      <c r="J8" s="9"/>
      <c r="K8" s="8" t="s">
        <v>18</v>
      </c>
      <c r="L8" s="8" t="s">
        <v>32</v>
      </c>
      <c r="M8" s="8" t="s">
        <v>92</v>
      </c>
      <c r="N8" s="8" t="s">
        <v>93</v>
      </c>
      <c r="O8" s="38" t="s">
        <v>108</v>
      </c>
    </row>
    <row r="9" spans="2:16" ht="69.45" customHeight="1">
      <c r="B9" s="7" t="s">
        <v>23</v>
      </c>
      <c r="C9" s="8" t="s">
        <v>62</v>
      </c>
      <c r="D9" s="8" t="s">
        <v>63</v>
      </c>
      <c r="E9" s="8" t="s">
        <v>64</v>
      </c>
      <c r="F9" s="8" t="s">
        <v>54</v>
      </c>
      <c r="G9" s="38" t="s">
        <v>85</v>
      </c>
      <c r="H9" s="8" t="s">
        <v>21</v>
      </c>
      <c r="I9" s="38">
        <v>6</v>
      </c>
      <c r="J9" s="9"/>
      <c r="K9" s="8" t="s">
        <v>18</v>
      </c>
      <c r="L9" s="8" t="s">
        <v>32</v>
      </c>
      <c r="M9" s="8" t="s">
        <v>94</v>
      </c>
      <c r="N9" s="8" t="s">
        <v>95</v>
      </c>
      <c r="O9" s="38" t="s">
        <v>109</v>
      </c>
    </row>
    <row r="10" spans="2:16" ht="86.7" customHeight="1">
      <c r="B10" s="7" t="s">
        <v>24</v>
      </c>
      <c r="C10" s="8" t="s">
        <v>65</v>
      </c>
      <c r="D10" s="8" t="s">
        <v>66</v>
      </c>
      <c r="E10" s="8" t="s">
        <v>67</v>
      </c>
      <c r="F10" s="8" t="s">
        <v>54</v>
      </c>
      <c r="G10" s="38" t="s">
        <v>86</v>
      </c>
      <c r="H10" s="8" t="s">
        <v>77</v>
      </c>
      <c r="I10" s="38">
        <v>3</v>
      </c>
      <c r="J10" s="9"/>
      <c r="K10" s="8" t="s">
        <v>18</v>
      </c>
      <c r="L10" s="8" t="s">
        <v>19</v>
      </c>
      <c r="M10" s="8" t="s">
        <v>96</v>
      </c>
      <c r="N10" s="8" t="s">
        <v>97</v>
      </c>
      <c r="O10" s="38" t="s">
        <v>110</v>
      </c>
      <c r="P10" s="10"/>
    </row>
    <row r="11" spans="2:16" ht="89.7" customHeight="1">
      <c r="B11" s="7" t="s">
        <v>25</v>
      </c>
      <c r="C11" s="8" t="s">
        <v>68</v>
      </c>
      <c r="D11" s="8" t="s">
        <v>69</v>
      </c>
      <c r="E11" s="8" t="s">
        <v>70</v>
      </c>
      <c r="F11" s="8" t="s">
        <v>54</v>
      </c>
      <c r="G11" s="38" t="s">
        <v>87</v>
      </c>
      <c r="H11" s="8" t="s">
        <v>21</v>
      </c>
      <c r="I11" s="38">
        <v>5</v>
      </c>
      <c r="J11" s="9"/>
      <c r="K11" s="8" t="s">
        <v>18</v>
      </c>
      <c r="L11" s="8" t="s">
        <v>19</v>
      </c>
      <c r="M11" s="8" t="s">
        <v>98</v>
      </c>
      <c r="N11" s="8" t="s">
        <v>99</v>
      </c>
      <c r="O11" s="38" t="s">
        <v>111</v>
      </c>
    </row>
    <row r="12" spans="2:16" ht="82.5" customHeight="1">
      <c r="B12" s="7" t="s">
        <v>26</v>
      </c>
      <c r="C12" s="8" t="s">
        <v>71</v>
      </c>
      <c r="D12" s="8" t="s">
        <v>72</v>
      </c>
      <c r="E12" s="8" t="s">
        <v>73</v>
      </c>
      <c r="F12" s="8" t="s">
        <v>54</v>
      </c>
      <c r="G12" s="38" t="s">
        <v>88</v>
      </c>
      <c r="H12" s="8" t="s">
        <v>28</v>
      </c>
      <c r="I12" s="38">
        <v>3</v>
      </c>
      <c r="J12" s="9"/>
      <c r="K12" s="8" t="s">
        <v>18</v>
      </c>
      <c r="L12" s="11" t="s">
        <v>19</v>
      </c>
      <c r="M12" s="8" t="s">
        <v>100</v>
      </c>
      <c r="N12" s="8" t="s">
        <v>101</v>
      </c>
      <c r="O12" s="38" t="s">
        <v>112</v>
      </c>
    </row>
    <row r="13" spans="2:16" ht="84.45" customHeight="1">
      <c r="B13" s="7" t="s">
        <v>27</v>
      </c>
      <c r="C13" s="8" t="s">
        <v>74</v>
      </c>
      <c r="D13" s="8" t="s">
        <v>75</v>
      </c>
      <c r="E13" s="8" t="s">
        <v>76</v>
      </c>
      <c r="F13" s="8" t="s">
        <v>54</v>
      </c>
      <c r="G13" s="38" t="s">
        <v>89</v>
      </c>
      <c r="H13" s="8" t="s">
        <v>17</v>
      </c>
      <c r="I13" s="38">
        <v>4</v>
      </c>
      <c r="J13" s="9"/>
      <c r="K13" s="8" t="s">
        <v>18</v>
      </c>
      <c r="L13" s="8" t="s">
        <v>19</v>
      </c>
      <c r="M13" s="8" t="s">
        <v>102</v>
      </c>
      <c r="N13" s="8" t="s">
        <v>103</v>
      </c>
      <c r="O13" s="38" t="s">
        <v>113</v>
      </c>
    </row>
    <row r="14" spans="2:16" ht="85.95" customHeight="1">
      <c r="B14" s="7" t="s">
        <v>43</v>
      </c>
      <c r="C14" s="8" t="s">
        <v>118</v>
      </c>
      <c r="D14" s="8" t="s">
        <v>119</v>
      </c>
      <c r="E14" s="8" t="s">
        <v>120</v>
      </c>
      <c r="F14" s="8" t="s">
        <v>54</v>
      </c>
      <c r="G14" s="38" t="s">
        <v>121</v>
      </c>
      <c r="H14" s="8" t="s">
        <v>21</v>
      </c>
      <c r="I14" s="38">
        <v>4</v>
      </c>
      <c r="J14" s="9"/>
      <c r="K14" s="8" t="s">
        <v>18</v>
      </c>
      <c r="L14" s="8" t="s">
        <v>19</v>
      </c>
      <c r="M14" s="8" t="s">
        <v>122</v>
      </c>
      <c r="N14" s="8" t="s">
        <v>123</v>
      </c>
      <c r="O14" s="38" t="s">
        <v>124</v>
      </c>
    </row>
    <row r="15" spans="2:16" ht="100.95" customHeight="1">
      <c r="B15" s="7" t="s">
        <v>116</v>
      </c>
      <c r="C15" s="8" t="s">
        <v>78</v>
      </c>
      <c r="D15" s="8" t="s">
        <v>79</v>
      </c>
      <c r="E15" s="8" t="s">
        <v>80</v>
      </c>
      <c r="F15" s="8" t="s">
        <v>54</v>
      </c>
      <c r="G15" s="38" t="s">
        <v>90</v>
      </c>
      <c r="H15" s="8" t="s">
        <v>77</v>
      </c>
      <c r="I15" s="38">
        <v>3</v>
      </c>
      <c r="J15" s="9"/>
      <c r="K15" s="8" t="s">
        <v>18</v>
      </c>
      <c r="L15" s="8" t="s">
        <v>19</v>
      </c>
      <c r="M15" s="8" t="s">
        <v>104</v>
      </c>
      <c r="N15" s="8" t="s">
        <v>105</v>
      </c>
      <c r="O15" s="38" t="s">
        <v>114</v>
      </c>
    </row>
    <row r="16" spans="2:16" ht="39.75" customHeight="1">
      <c r="B16" s="7" t="s">
        <v>117</v>
      </c>
      <c r="C16" s="8" t="s">
        <v>81</v>
      </c>
      <c r="D16" s="8" t="s">
        <v>82</v>
      </c>
      <c r="E16" s="8" t="s">
        <v>83</v>
      </c>
      <c r="F16" s="8" t="s">
        <v>54</v>
      </c>
      <c r="G16" s="38" t="s">
        <v>91</v>
      </c>
      <c r="H16" s="8" t="s">
        <v>17</v>
      </c>
      <c r="I16" s="38">
        <v>5</v>
      </c>
      <c r="J16" s="38"/>
      <c r="K16" s="38" t="s">
        <v>18</v>
      </c>
      <c r="L16" s="8" t="s">
        <v>19</v>
      </c>
      <c r="M16" s="8" t="s">
        <v>106</v>
      </c>
      <c r="N16" s="8" t="s">
        <v>107</v>
      </c>
      <c r="O16" s="38" t="s">
        <v>115</v>
      </c>
    </row>
    <row r="17" spans="2:15" ht="39.75" customHeight="1">
      <c r="B17" s="12"/>
    </row>
    <row r="18" spans="2:15" ht="39.75" customHeight="1">
      <c r="B18" s="12"/>
      <c r="C18" s="13"/>
      <c r="D18" s="13"/>
      <c r="E18" s="13"/>
      <c r="F18" s="13"/>
      <c r="G18" s="13"/>
      <c r="H18" s="13"/>
      <c r="I18" s="14"/>
      <c r="J18" s="15"/>
      <c r="K18" s="14"/>
      <c r="L18" s="14"/>
      <c r="M18" s="13"/>
      <c r="N18" s="13"/>
      <c r="O18" s="13"/>
    </row>
    <row r="19" spans="2:15" ht="39.75" customHeight="1">
      <c r="B19" s="12"/>
      <c r="C19" s="13"/>
      <c r="D19" s="13"/>
      <c r="E19" s="13"/>
      <c r="F19" s="13"/>
      <c r="G19" s="13"/>
      <c r="H19" s="13"/>
      <c r="I19" s="14"/>
      <c r="J19" s="15"/>
      <c r="K19" s="14"/>
      <c r="L19" s="14"/>
      <c r="M19" s="13"/>
      <c r="N19" s="13"/>
      <c r="O19" s="13"/>
    </row>
    <row r="20" spans="2:15" ht="19.5" customHeight="1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>
      <c r="B23" s="12"/>
      <c r="C23" s="13"/>
      <c r="D23" s="13"/>
      <c r="E23" s="13"/>
      <c r="F23" s="13"/>
      <c r="G23" s="13"/>
      <c r="H23" s="13"/>
      <c r="I23" s="14"/>
      <c r="J23" s="15"/>
      <c r="K23" s="14"/>
      <c r="L23" s="14"/>
      <c r="M23" s="13"/>
      <c r="N23" s="13"/>
      <c r="O23" s="13"/>
    </row>
    <row r="24" spans="2:15" ht="19.5" customHeight="1">
      <c r="I24" s="3"/>
      <c r="J24" s="3"/>
      <c r="K24" s="16"/>
      <c r="L24" s="3"/>
    </row>
    <row r="25" spans="2:15" ht="19.5" customHeight="1">
      <c r="I25" s="1"/>
      <c r="J25" s="1"/>
      <c r="K25" s="2"/>
      <c r="L25" s="3"/>
    </row>
    <row r="26" spans="2:15" ht="19.5" customHeight="1">
      <c r="I26" s="1"/>
      <c r="J26" s="1"/>
      <c r="K26" s="2"/>
      <c r="L26" s="3"/>
    </row>
    <row r="27" spans="2:15" ht="19.5" customHeight="1">
      <c r="I27" s="1"/>
      <c r="J27" s="1"/>
      <c r="K27" s="2"/>
      <c r="L27" s="3"/>
    </row>
    <row r="28" spans="2:15" ht="19.5" customHeight="1">
      <c r="I28" s="1"/>
      <c r="J28" s="1"/>
      <c r="K28" s="17"/>
      <c r="L28" s="3"/>
    </row>
    <row r="29" spans="2:15" ht="19.5" customHeight="1">
      <c r="I29" s="1"/>
      <c r="J29" s="1"/>
      <c r="K29" s="17"/>
      <c r="L29" s="3"/>
    </row>
    <row r="30" spans="2:15" ht="19.5" customHeight="1">
      <c r="I30" s="1"/>
      <c r="J30" s="1"/>
      <c r="K30" s="2"/>
      <c r="L30" s="3"/>
    </row>
    <row r="31" spans="2:15" ht="19.5" customHeight="1">
      <c r="I31" s="1"/>
      <c r="J31" s="1"/>
      <c r="K31" s="2"/>
      <c r="L31" s="3"/>
    </row>
    <row r="32" spans="2:15" ht="19.5" customHeight="1">
      <c r="I32" s="1"/>
      <c r="J32" s="1"/>
      <c r="K32" s="2"/>
      <c r="L32" s="3"/>
    </row>
    <row r="33" spans="9:13" ht="19.5" customHeight="1">
      <c r="I33" s="1"/>
      <c r="J33" s="1"/>
      <c r="K33" s="2" t="s">
        <v>18</v>
      </c>
      <c r="L33" s="1" t="s">
        <v>19</v>
      </c>
      <c r="M33" s="4"/>
    </row>
    <row r="34" spans="9:13" ht="19.5" customHeight="1">
      <c r="I34" s="1"/>
      <c r="J34" s="1"/>
      <c r="K34" s="2" t="s">
        <v>29</v>
      </c>
      <c r="L34" s="1" t="s">
        <v>30</v>
      </c>
      <c r="M34" s="4"/>
    </row>
    <row r="35" spans="9:13" ht="15.75" customHeight="1">
      <c r="I35" s="1"/>
      <c r="J35" s="1"/>
      <c r="K35" s="2" t="s">
        <v>31</v>
      </c>
      <c r="L35" s="1" t="s">
        <v>32</v>
      </c>
      <c r="M35" s="4"/>
    </row>
    <row r="36" spans="9:13" ht="15.75" customHeight="1">
      <c r="I36" s="1"/>
      <c r="J36" s="1"/>
      <c r="K36" s="2"/>
      <c r="L36" s="1" t="s">
        <v>33</v>
      </c>
      <c r="M36" s="4"/>
    </row>
    <row r="37" spans="9:13" ht="15.75" customHeight="1">
      <c r="I37" s="1"/>
      <c r="J37" s="1"/>
      <c r="K37" s="2"/>
      <c r="L37" s="3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" customHeight="1">
      <c r="I1001" s="1"/>
      <c r="J1001" s="1"/>
      <c r="K1001" s="2"/>
      <c r="L1001" s="3"/>
    </row>
    <row r="1002" spans="9:12" ht="15" customHeight="1">
      <c r="I1002" s="1"/>
      <c r="J1002" s="1"/>
      <c r="K1002" s="2"/>
      <c r="L1002" s="3"/>
    </row>
    <row r="1003" spans="9:12" ht="15" customHeight="1">
      <c r="I1003" s="3"/>
      <c r="J1003" s="3"/>
      <c r="K1003" s="16"/>
      <c r="L1003" s="3"/>
    </row>
    <row r="1004" spans="9:12" ht="15" customHeight="1">
      <c r="I1004" s="3"/>
      <c r="J1004" s="3"/>
      <c r="K1004" s="16"/>
      <c r="L1004" s="3"/>
    </row>
  </sheetData>
  <mergeCells count="1">
    <mergeCell ref="B3:O3"/>
  </mergeCells>
  <phoneticPr fontId="20" type="noConversion"/>
  <dataValidations count="2">
    <dataValidation type="list" allowBlank="1" showErrorMessage="1" sqref="K18:K23 K6:K16" xr:uid="{00000000-0002-0000-0000-000000000000}">
      <formula1>$K$33:$K$35</formula1>
    </dataValidation>
    <dataValidation type="list" allowBlank="1" showErrorMessage="1" sqref="L18:L23 L6:L16" xr:uid="{00000000-0002-0000-0000-000001000000}">
      <formula1>$L$33:$L$36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7" zoomScale="102" workbookViewId="0">
      <selection activeCell="D15" sqref="D15:E17"/>
    </sheetView>
  </sheetViews>
  <sheetFormatPr baseColWidth="10" defaultColWidth="12" defaultRowHeight="15" customHeight="1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/>
    <row r="3" spans="2:16" ht="15" hidden="1" customHeight="1"/>
    <row r="4" spans="2:16" ht="14.4" hidden="1">
      <c r="C4" s="18"/>
      <c r="D4" s="18"/>
      <c r="E4" s="18"/>
      <c r="F4" s="4"/>
    </row>
    <row r="5" spans="2:16" ht="14.4" hidden="1">
      <c r="C5" s="18"/>
      <c r="D5" s="18"/>
      <c r="E5" s="18"/>
      <c r="F5" s="4"/>
    </row>
    <row r="6" spans="2:16" ht="39.75" customHeight="1">
      <c r="B6" s="43" t="s">
        <v>34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5"/>
    </row>
    <row r="7" spans="2:16" ht="9.75" customHeight="1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>
      <c r="B9" s="25"/>
      <c r="C9" s="26" t="s">
        <v>1</v>
      </c>
      <c r="D9" s="27"/>
      <c r="E9" s="69" t="s">
        <v>35</v>
      </c>
      <c r="F9" s="45"/>
      <c r="G9" s="27"/>
      <c r="H9" s="69" t="s">
        <v>11</v>
      </c>
      <c r="I9" s="45"/>
      <c r="J9" s="28"/>
      <c r="K9" s="28"/>
      <c r="L9" s="28"/>
      <c r="M9" s="28"/>
      <c r="N9" s="28"/>
      <c r="O9" s="28"/>
      <c r="P9" s="29"/>
    </row>
    <row r="10" spans="2:16" ht="30" customHeight="1">
      <c r="B10" s="25"/>
      <c r="C10" s="39" t="s">
        <v>43</v>
      </c>
      <c r="D10" s="31"/>
      <c r="E10" s="92" t="str">
        <f>VLOOKUP(C10,'Formato descripción HU'!B6:O23,5,0)</f>
        <v>Administrador "Los Huertos del JuanCa"</v>
      </c>
      <c r="F10" s="93"/>
      <c r="G10" s="32"/>
      <c r="H10" s="83" t="str">
        <f>VLOOKUP(C10,'Formato descripción HU'!B6:O23,11,0)</f>
        <v>No iniciado</v>
      </c>
      <c r="I10" s="45"/>
      <c r="J10" s="32"/>
      <c r="K10" s="28"/>
      <c r="L10" s="28"/>
      <c r="M10" s="28"/>
      <c r="N10" s="28"/>
      <c r="O10" s="28"/>
      <c r="P10" s="29"/>
    </row>
    <row r="11" spans="2:16" ht="9.75" customHeight="1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>
      <c r="B12" s="25"/>
      <c r="C12" s="26" t="s">
        <v>36</v>
      </c>
      <c r="D12" s="31"/>
      <c r="E12" s="69" t="s">
        <v>10</v>
      </c>
      <c r="F12" s="45"/>
      <c r="G12" s="32"/>
      <c r="H12" s="69" t="s">
        <v>37</v>
      </c>
      <c r="I12" s="45"/>
      <c r="J12" s="32"/>
      <c r="K12" s="34"/>
      <c r="L12" s="34"/>
      <c r="M12" s="28"/>
      <c r="N12" s="34"/>
      <c r="O12" s="34"/>
      <c r="P12" s="29"/>
    </row>
    <row r="13" spans="2:16" ht="30" customHeight="1">
      <c r="B13" s="25"/>
      <c r="C13" s="30">
        <f>VLOOKUP('Historia de Usuario'!C10,'Formato descripción HU'!B6:O23,8,0)</f>
        <v>4</v>
      </c>
      <c r="D13" s="31"/>
      <c r="E13" s="83" t="str">
        <f>VLOOKUP(C10,'Formato descripción HU'!B6:O23,10,0)</f>
        <v>Alta</v>
      </c>
      <c r="F13" s="45"/>
      <c r="G13" s="32"/>
      <c r="H13" s="83" t="str">
        <f>VLOOKUP(C10,'Formato descripción HU'!B6:O23,7,0)</f>
        <v>Eatan Ayala</v>
      </c>
      <c r="I13" s="45"/>
      <c r="J13" s="32"/>
      <c r="K13" s="34"/>
      <c r="L13" s="34"/>
      <c r="M13" s="28"/>
      <c r="N13" s="34"/>
      <c r="O13" s="34"/>
      <c r="P13" s="29"/>
    </row>
    <row r="14" spans="2:16" ht="9.75" customHeight="1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>
      <c r="B15" s="25"/>
      <c r="C15" s="80" t="s">
        <v>38</v>
      </c>
      <c r="D15" s="52" t="str">
        <f>VLOOKUP(C10,'Formato descripción HU'!B6:O23,3,0)</f>
        <v>Reemplazar los datos guardados en texto a un archivo Excel</v>
      </c>
      <c r="E15" s="47"/>
      <c r="F15" s="28"/>
      <c r="G15" s="80" t="s">
        <v>39</v>
      </c>
      <c r="H15" s="52" t="str">
        <f>VLOOKUP(C10,'Formato descripción HU'!B6:O23,4,0)</f>
        <v>Abrir y encontrar los datos del  emprendimiento de forma sencilla en Excel</v>
      </c>
      <c r="I15" s="84"/>
      <c r="J15" s="47"/>
      <c r="K15" s="28"/>
      <c r="L15" s="80" t="s">
        <v>40</v>
      </c>
      <c r="M15" s="70" t="str">
        <f>VLOOKUP(C10,'Formato descripción HU'!B6:O23,6,0)</f>
        <v>1. Leer los archivos de texto.                  2. Organizar los datos en Excel.          3. Reemplazar el guardado en texto por Excel</v>
      </c>
      <c r="N15" s="71"/>
      <c r="O15" s="72"/>
      <c r="P15" s="29"/>
    </row>
    <row r="16" spans="2:16" ht="19.5" customHeight="1">
      <c r="B16" s="25"/>
      <c r="C16" s="81"/>
      <c r="D16" s="48"/>
      <c r="E16" s="49"/>
      <c r="F16" s="28"/>
      <c r="G16" s="81"/>
      <c r="H16" s="48"/>
      <c r="I16" s="42"/>
      <c r="J16" s="49"/>
      <c r="K16" s="28"/>
      <c r="L16" s="81"/>
      <c r="M16" s="73"/>
      <c r="N16" s="74"/>
      <c r="O16" s="75"/>
      <c r="P16" s="29"/>
    </row>
    <row r="17" spans="2:16" ht="19.5" customHeight="1">
      <c r="B17" s="25"/>
      <c r="C17" s="82"/>
      <c r="D17" s="50"/>
      <c r="E17" s="51"/>
      <c r="F17" s="28"/>
      <c r="G17" s="82"/>
      <c r="H17" s="50"/>
      <c r="I17" s="85"/>
      <c r="J17" s="51"/>
      <c r="K17" s="28"/>
      <c r="L17" s="82"/>
      <c r="M17" s="76"/>
      <c r="N17" s="77"/>
      <c r="O17" s="78"/>
      <c r="P17" s="29"/>
    </row>
    <row r="18" spans="2:16" ht="9.75" customHeight="1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>
      <c r="B19" s="25"/>
      <c r="C19" s="79" t="s">
        <v>41</v>
      </c>
      <c r="D19" s="47"/>
      <c r="E19" s="86" t="str">
        <f>VLOOKUP(C10,'Formato descripción HU'!B6:O22,14,0)</f>
        <v>Almacenamiento en Excel</v>
      </c>
      <c r="F19" s="87"/>
      <c r="G19" s="87"/>
      <c r="H19" s="87"/>
      <c r="I19" s="87"/>
      <c r="J19" s="87"/>
      <c r="K19" s="87"/>
      <c r="L19" s="87"/>
      <c r="M19" s="87"/>
      <c r="N19" s="87"/>
      <c r="O19" s="88"/>
      <c r="P19" s="29"/>
    </row>
    <row r="20" spans="2:16" ht="19.5" customHeight="1">
      <c r="B20" s="25"/>
      <c r="C20" s="50"/>
      <c r="D20" s="51"/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29"/>
    </row>
    <row r="21" spans="2:16" ht="9.75" customHeight="1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>
      <c r="B22" s="25"/>
      <c r="C22" s="46" t="s">
        <v>42</v>
      </c>
      <c r="D22" s="47"/>
      <c r="E22" s="52" t="str">
        <f>VLOOKUP(C10,'Formato descripción HU'!B6:O23,12,0)</f>
        <v>Dado que se guarda un registro, Cuando el proceso termina, Entonces el dato es insertado en el archivo Excel</v>
      </c>
      <c r="F22" s="53"/>
      <c r="G22" s="53"/>
      <c r="H22" s="54"/>
      <c r="I22" s="28"/>
      <c r="J22" s="46" t="s">
        <v>13</v>
      </c>
      <c r="K22" s="47"/>
      <c r="L22" s="52" t="str">
        <f>VLOOKUP(C10,'Formato descripción HU'!B6:O23,13,0)</f>
        <v>Se realiza después de terminar el REQ008</v>
      </c>
      <c r="M22" s="61"/>
      <c r="N22" s="61"/>
      <c r="O22" s="62"/>
      <c r="P22" s="29"/>
    </row>
    <row r="23" spans="2:16" ht="19.5" customHeight="1">
      <c r="B23" s="25"/>
      <c r="C23" s="48"/>
      <c r="D23" s="49"/>
      <c r="E23" s="55"/>
      <c r="F23" s="56"/>
      <c r="G23" s="56"/>
      <c r="H23" s="57"/>
      <c r="I23" s="28"/>
      <c r="J23" s="48"/>
      <c r="K23" s="49"/>
      <c r="L23" s="63"/>
      <c r="M23" s="64"/>
      <c r="N23" s="64"/>
      <c r="O23" s="65"/>
      <c r="P23" s="29"/>
    </row>
    <row r="24" spans="2:16" ht="19.5" customHeight="1">
      <c r="B24" s="25"/>
      <c r="C24" s="50"/>
      <c r="D24" s="51"/>
      <c r="E24" s="58"/>
      <c r="F24" s="59"/>
      <c r="G24" s="59"/>
      <c r="H24" s="60"/>
      <c r="I24" s="28"/>
      <c r="J24" s="50"/>
      <c r="K24" s="51"/>
      <c r="L24" s="66"/>
      <c r="M24" s="67"/>
      <c r="N24" s="67"/>
      <c r="O24" s="68"/>
      <c r="P24" s="29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C15:C17"/>
    <mergeCell ref="E9:F9"/>
    <mergeCell ref="H9:I9"/>
    <mergeCell ref="E10:F10"/>
    <mergeCell ref="H10:I10"/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Mateo Ct</cp:lastModifiedBy>
  <dcterms:created xsi:type="dcterms:W3CDTF">2019-10-21T20:37:00Z</dcterms:created>
  <dcterms:modified xsi:type="dcterms:W3CDTF">2026-06-01T13:00:55Z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