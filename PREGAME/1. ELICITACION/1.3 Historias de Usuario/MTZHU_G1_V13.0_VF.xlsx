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8297C98-9E93-45DC-8C1F-CA4D8CCDF06D}" xr6:coauthVersionLast="47" xr6:coauthVersionMax="47" xr10:uidLastSave="{00000000-0000-0000-0000-000000000000}"/>
  <bookViews>
    <workbookView xWindow="-24120" yWindow="-4785" windowWidth="24240" windowHeight="130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<sst xmlns="http://schemas.openxmlformats.org/spreadsheetml/2006/main" count="194" uniqueCount="141">
  <si>
    <t>Matriz de Marco de Trabajo de HU Huertos de Juank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</si>
  <si>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</si>
  <si>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</si>
  <si>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</si>
  <si>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</si>
  <si>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</si>
  <si>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</si>
  <si>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</si>
  <si>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</si>
  <si>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</si>
  <si>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</si>
  <si>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</si>
  <si>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</si>
  <si>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</si>
  <si>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</si>
  <si>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</si>
  <si>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Dificultad para navegar entre modulos del sistema.</t>
  </si>
  <si>
    <t>Esteban Cuichan</t>
  </si>
  <si>
    <t>Alta</t>
  </si>
  <si>
    <t>Terminado</t>
  </si>
  <si>
    <t>REQ002</t>
  </si>
  <si>
    <t>Johan Catota</t>
  </si>
  <si>
    <t>Vincular el Registro  con el formulario de ventas (REQ009) y al Catalogo [REQ-010] para cargar los productos automáticamente.</t>
  </si>
  <si>
    <t>Registro de Productos</t>
  </si>
  <si>
    <t>REQ003</t>
  </si>
  <si>
    <t>Informacion de productos desactualizada</t>
  </si>
  <si>
    <t>Buscar, modificar y eliminar productos registrados.</t>
  </si>
  <si>
    <t>Mantener el catálogo de productos actualizado y sin registros incorrectos</t>
  </si>
  <si>
    <t>Gestion de Productos</t>
  </si>
  <si>
    <t>REQ004</t>
  </si>
  <si>
    <t>Eatan Ayala</t>
  </si>
  <si>
    <t>Registro de clientes</t>
  </si>
  <si>
    <t>REQ005</t>
  </si>
  <si>
    <t>Datos de clientes desactualizados.</t>
  </si>
  <si>
    <t>Modificar o eliminar información de clientes registrados.</t>
  </si>
  <si>
    <t>Requiere que el cliente exista previamente</t>
  </si>
  <si>
    <t>Gestion y Actualizacion de la informacion de Clientes</t>
  </si>
  <si>
    <t>REQ006</t>
  </si>
  <si>
    <t>Detectar cumpleaños próximos y mostrar alertas.</t>
  </si>
  <si>
    <t>El cliente debe tener registrada su fecha de nacimiento en REQ004</t>
  </si>
  <si>
    <t xml:space="preserve">Alerta de cumpleaños </t>
  </si>
  <si>
    <t>REQ007</t>
  </si>
  <si>
    <t>Mantener un seguimiento ordenado de los posibles compradores</t>
  </si>
  <si>
    <t>No afecta reportes de ventas hasta ser convertido en cliente</t>
  </si>
  <si>
    <t>Registro de clientes potenciales</t>
  </si>
  <si>
    <t>REQ008</t>
  </si>
  <si>
    <t>Modificar y gestionar clientes potenciales.</t>
  </si>
  <si>
    <t xml:space="preserve">No afecta el modulo de clientes </t>
  </si>
  <si>
    <t xml:space="preserve">Gestion de clientes potenciales </t>
  </si>
  <si>
    <t>REQ009</t>
  </si>
  <si>
    <t>Permanencia de clientes inactivos en el sistema</t>
  </si>
  <si>
    <t>Gestionar clientes inactivos, reactivar o eliminar.</t>
  </si>
  <si>
    <t>Mantener limpio el listado de clientes activos sin perder continuidad.</t>
  </si>
  <si>
    <t>Katerine Caizaluisa</t>
  </si>
  <si>
    <t>En proceso</t>
  </si>
  <si>
    <t>Gestion de clientes inactivos</t>
  </si>
  <si>
    <t>REQ010</t>
  </si>
  <si>
    <t>Mostrar los productos registrados en forma de catálogo visual con imagen, nombre, tamaño, precio y estado</t>
  </si>
  <si>
    <t>Seleccionar productos de forma rápida y visual al momento de registrar una venta</t>
  </si>
  <si>
    <t>Catalogo de Productos</t>
  </si>
  <si>
    <t>REQ011</t>
  </si>
  <si>
    <t>No iniciado</t>
  </si>
  <si>
    <t>Registros de ventas</t>
  </si>
  <si>
    <t>REQ012</t>
  </si>
  <si>
    <t>Emision de Nota de Venta</t>
  </si>
  <si>
    <t>REQ013</t>
  </si>
  <si>
    <t xml:space="preserve">Generacion de reportes en excel </t>
  </si>
  <si>
    <t xml:space="preserve">Media 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</si>
  <si>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</si>
  <si>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</si>
  <si>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</si>
  <si>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</si>
  <si>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</si>
  <si>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</si>
  <si>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</si>
  <si>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</si>
  <si>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</si>
  <si>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</si>
  <si>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</si>
  <si>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Diseñar un menú principal de navegación para las distintas secciones del sistema. </t>
  </si>
  <si>
    <t>Administrador "Los Huertos del Juank"</t>
  </si>
  <si>
    <t>Facilitar el acceso a los módulos del sistema: productos, clientes, ventas y reportes.</t>
  </si>
  <si>
    <t>1. Iniciar el sistema.
2. Visualizar la pantalla de carga.
3. Mostrar el menú principal.
4. Seleccionar el módulo deseado.</t>
  </si>
  <si>
    <t>Dado que el administrador inicia el sistema, cuando selecciona un módulo del menú principal, entonces el sistema muestra la pantalla correspondiente.</t>
  </si>
  <si>
    <t xml:space="preserve"> Navegación por el Sistema</t>
  </si>
  <si>
    <t xml:space="preserve">Botones o Inserciones para minimizar o cerrar el ejecutable del sistema </t>
  </si>
  <si>
    <t>Dificultad para controlar e registrar los productos</t>
  </si>
  <si>
    <t>Registrar productos con su información, disponibilidad e imagen.</t>
  </si>
  <si>
    <t>Mantener precios, stock y estado correctos para la venta.</t>
  </si>
  <si>
    <t>1. Ingresar al módulo Productos.
2. Registrar la información del producto.
3. Seleccionar una imagen.
4. Guardar el producto.</t>
  </si>
  <si>
    <t>1. Buscar el producto por nombre.
2. Modificar la información requerida.
3. Guardar cambios o eliminar el producto.</t>
  </si>
  <si>
    <t>Dado que existe un producto registrado, cuando el administrador modifica o elimina la información, entonces los cambios se reflejan en el catálogo y en tabla de registro si es necesario</t>
  </si>
  <si>
    <t>Los cambios realizados se reflejan únicamente en ventas futuras.</t>
  </si>
  <si>
    <t>Dado que el administrador completa la información del producto, cuando guarda el registro, entonces el sistema incorpora el producto al catálogo y tabla de registro.</t>
  </si>
  <si>
    <t>Pérdida de información de clientes.</t>
  </si>
  <si>
    <t>Registrar clientes con su información personal (nombre, apellido, cedula etc) .</t>
  </si>
  <si>
    <t>Mantener un registro organizado de clientes para futuras ventas y consultas.</t>
  </si>
  <si>
    <t>1. Ingresar al módulo Clientes.
2. Completar la información del cliente.
3. Guardar el registro.</t>
  </si>
  <si>
    <t>Dado que el administrador registra un cliente, cuando guarda la información, entonces el sistema almacena correctamente el nuevo cliente.</t>
  </si>
  <si>
    <t>Requiere varios datos no obligatorios, y genera un codigo unico de cliente.</t>
  </si>
  <si>
    <t>Comentario Extra: Requisito Asignado Katherine Caizaluisa No cumplido</t>
  </si>
  <si>
    <t>Mantener los datos de contacto actualizados para evitar fallos.</t>
  </si>
  <si>
    <t>1. Buscar el cliente por nombre.
2. Modificar la información requerida.
3. Guardar los cambios o eliminar el registro.</t>
  </si>
  <si>
    <t>Dado que existe un cliente registrado, cuando el administrador modifica o elimina la información, entonces los cambios se actualizan correctamente en el sistema.</t>
  </si>
  <si>
    <t>Desconocimiento de los cumpleaños próximos de los clientes.</t>
  </si>
  <si>
    <t>Recordar al administrador los próximos cumpleaños de sus clientes</t>
  </si>
  <si>
    <t xml:space="preserve">1. Al iniciar sistema, comparar fecha actual con fechas de nacimiento                          2. Mostrar alerta con listado de clientes próximos a cumplir años </t>
  </si>
  <si>
    <t>Dado que existen clientes próximos a cumplir años, cuando el administrador inicia el sistema, entonces aparece una alerta con el listado correspondiente.</t>
  </si>
  <si>
    <t>Perdida de seguimiento a personas interesadas.</t>
  </si>
  <si>
    <t>Registrar clientes potenciales interesados en los productos.</t>
  </si>
  <si>
    <t>1. Ingresar al módulo Clientes Potenciales.
2. Registrar la información del cliente potencial.
3. Guardar el registro.</t>
  </si>
  <si>
    <t>Dado que el administrador registra un cliente potencial, cuando guarda la información, entonces el sistema almacena correctamente el registro.</t>
  </si>
  <si>
    <t>Información de clientes potenciales desactualizada.</t>
  </si>
  <si>
    <t>Mantener actualizada la información de los posibles futuros clientes.</t>
  </si>
  <si>
    <t>Dado que existe un cliente potencial registrado, cuando el administrador modifica o elimina la información, entonces el sistema actualiza correctamente los datos</t>
  </si>
  <si>
    <t xml:space="preserve">
1. Buscar el cliente potencial por nombre.
2. Seleccionar el registro.
3. Modificar la información necesaria.
4. Guardar los cambios o eliminar el registro.</t>
  </si>
  <si>
    <t>1. Ingresar al módulo de clientes inactivos.
2. Buscar y seleccionar el cliente.
3. Elegir entre reactivar o eliminar definitivamente.
4. Confirmar la acción.</t>
  </si>
  <si>
    <t>Dado que el administrador selecciona un cliente inactivo, Cuando elige reactivar, Entonces el cliente vuelve a aparecer en la lista activa</t>
  </si>
  <si>
    <t>Borrado definitivo solo con confirmación previa</t>
  </si>
  <si>
    <t>Dificultad para visualizar productos al momento del proceso de venta.</t>
  </si>
  <si>
    <t>1. Ingresar al módulo de ventas.
2. Visualizar el catálogo de productos.
3. Seleccionar un producto.
4. Agregarlo al detalle de la venta.</t>
  </si>
  <si>
    <t>Dado que existen productos disponibles, cuando el administrador abre el catálogo, entonces el sistema permite seleccionar los productos disponibles para la venta.</t>
  </si>
  <si>
    <t>Utiliza la información registrada en el módulo de productos REQ002, REQ003.</t>
  </si>
  <si>
    <t>Descontrol de las ventas realizadas.</t>
  </si>
  <si>
    <t>Registrar ventas asociadas a cliente, producto.</t>
  </si>
  <si>
    <t>Mantener un registro organizado de las ventas y calcular automáticamente el total de la compra.</t>
  </si>
  <si>
    <t>1. Buscar y seleccionar un cliente.
2. Agregar uno o varios productos desde el catálogo.
3. Indicar la cantidad de cada producto.
4. Verificar el total de la venta.
5. Guardar el registro de la venta.</t>
  </si>
  <si>
    <t>Dado que el administrador selecciona un cliente y agrega productos, cuando finaliza la venta, entonces el sistema registra la venta y calcula automáticamente el total a pagar.</t>
  </si>
  <si>
    <t>La venta queda disponible para consultas, notas de venta y reportes.</t>
  </si>
  <si>
    <t>Lentitud en emision de comprobantes de venta.</t>
  </si>
  <si>
    <t>Generar una nota de venta digital con la informarcion de la compra.</t>
  </si>
  <si>
    <t xml:space="preserve">Entregar un comprobante claro y ordenao al cliente. </t>
  </si>
  <si>
    <t>1. Seleccionar una venta registrada.
2. Visualizar la nota de venta.
3. Verificar la información mostrada.
4. Exportar la nota en formato PDF.</t>
  </si>
  <si>
    <t>Dado que existe una venta registrada, cuando el administrador genera la nota de venta, entonces el sistema muestra la vista previa y permite exportarla en formato PDF.</t>
  </si>
  <si>
    <t>La nota incluye los datos del cliente, el detalle de productos y el total de la compra.</t>
  </si>
  <si>
    <t>Dificultad para analizar informacion del sistema.</t>
  </si>
  <si>
    <t>Exportar un reporte de ventas en formato Excel con información estadística.</t>
  </si>
  <si>
    <t>Facilitar el análisis de las ventas mediante un historial, un resumen por productos y gráficos Excel.</t>
  </si>
  <si>
    <t>1. Ingresar al módulo de Reportes y Notas de Venta.
2. Seleccionar un rango de fechas (opcional).
3. Visualizar las ventas que se desean exportar.
4. Presionar el botón Exportar a Excel.
5. Obtener el archivo Excel con el historial, resumen y gráfico de ventas.</t>
  </si>
  <si>
    <t>DDado que existen ventas registradas, cuando el administrador exporta el reporte, entonces el sistema genera un archivo Excel correspondiente.</t>
  </si>
  <si>
    <t>Reporte con fines de consulta y analisis, no influye la informacion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</si>
</sst>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name val="Arial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i/>
      <sz val="16"/>
      <color rgb="FF000000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b/>
      <sz val="11"/>
      <color rgb="FFFA7D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i/>
      <sz val="12"/>
      <color rgb="FF9C6500"/>
      <name val="Calibri"/>
      <family val="2"/>
    </font>
    <font>
      <sz val="8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3" borderId="7" xfId="0" applyFont="1" applyFill="1" applyBorder="1" applyAlignment="1"/>
    <xf numFmtId="0" fontId="7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10" fillId="4" borderId="11" xfId="0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2" fillId="3" borderId="0" xfId="0" applyFont="1" applyFill="1" applyAlignment="1"/>
    <xf numFmtId="0" fontId="2" fillId="3" borderId="12" xfId="0" applyFont="1" applyFill="1" applyBorder="1" applyAlignment="1"/>
    <xf numFmtId="0" fontId="12" fillId="5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1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16" xfId="0" applyFont="1" applyFill="1" applyBorder="1" applyAlignment="1"/>
    <xf numFmtId="0" fontId="2" fillId="3" borderId="18" xfId="0" applyFont="1" applyFill="1" applyBorder="1" applyAlignment="1"/>
    <xf numFmtId="0" fontId="2" fillId="3" borderId="17" xfId="0" applyFont="1" applyFill="1" applyBorder="1" applyAlignment="1"/>
    <xf numFmtId="0" fontId="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10" fillId="6" borderId="13" xfId="0" applyFont="1" applyFill="1" applyBorder="1" applyAlignment="1">
      <alignment horizontal="center" vertical="center"/>
    </xf>
    <xf numFmtId="0" fontId="9" fillId="0" borderId="14" xfId="0" applyFont="1" applyBorder="1" applyAlignment="1"/>
    <xf numFmtId="0" fontId="9" fillId="0" borderId="15" xfId="0" applyFont="1" applyBorder="1" applyAlignment="1"/>
    <xf numFmtId="0" fontId="10" fillId="4" borderId="4" xfId="0" applyFont="1" applyFill="1" applyBorder="1" applyAlignment="1">
      <alignment horizontal="center" vertical="center"/>
    </xf>
    <xf numFmtId="0" fontId="9" fillId="0" borderId="6" xfId="0" applyFont="1" applyBorder="1" applyAlignment="1"/>
    <xf numFmtId="0" fontId="1" fillId="5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wrapText="1"/>
    </xf>
    <xf numFmtId="0" fontId="1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/>
    <xf numFmtId="0" fontId="10" fillId="4" borderId="7" xfId="0" applyFont="1" applyFill="1" applyBorder="1" applyAlignment="1">
      <alignment horizontal="center" vertical="center"/>
    </xf>
    <xf numFmtId="0" fontId="9" fillId="0" borderId="9" xfId="0" applyFont="1" applyBorder="1" applyAlignment="1"/>
    <xf numFmtId="0" fontId="9" fillId="0" borderId="10" xfId="0" applyFont="1" applyBorder="1" applyAlignment="1"/>
    <xf numFmtId="0" fontId="9" fillId="0" borderId="12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2" fillId="0" borderId="0" xfId="0" applyFont="1" applyAlignment="1">
      <alignment wrapText="1"/>
    </xf>
    <xf numFmtId="0" fontId="9" fillId="0" borderId="12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5" fillId="0" borderId="0" xfId="0" applyFont="1" applyAlignment="1">
      <alignment wrapText="1"/>
    </xf>
    <xf numFmtId="0" fontId="14" fillId="0" borderId="12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16" fillId="7" borderId="7" xfId="0" applyFont="1" applyFill="1" applyBorder="1" applyAlignment="1">
      <alignment horizontal="center" vertical="center"/>
    </xf>
    <xf numFmtId="0" fontId="9" fillId="0" borderId="8" xfId="0" applyFont="1" applyBorder="1" applyAlignment="1"/>
    <xf numFmtId="0" fontId="9" fillId="0" borderId="18" xfId="0" applyFont="1" applyBorder="1" applyAlignment="1"/>
    <xf numFmtId="0" fontId="12" fillId="2" borderId="19" xfId="0" applyFont="1" applyFill="1" applyBorder="1" applyAlignment="1">
      <alignment horizontal="center" vertical="center"/>
    </xf>
    <xf numFmtId="0" fontId="9" fillId="0" borderId="20" xfId="0" applyFont="1" applyBorder="1" applyAlignment="1"/>
    <xf numFmtId="0" fontId="9" fillId="0" borderId="21" xfId="0" applyFont="1" applyBorder="1" applyAlignment="1"/>
    <xf numFmtId="0" fontId="9" fillId="0" borderId="22" xfId="0" applyFont="1" applyBorder="1" applyAlignment="1"/>
    <xf numFmtId="0" fontId="9" fillId="0" borderId="23" xfId="0" applyFont="1" applyBorder="1" applyAlignment="1"/>
    <xf numFmtId="0" fontId="9" fillId="0" borderId="24" xfId="0" applyFont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290585</xdr:rowOff>
    </xdr:from>
    <xdr:to>
      <xdr:col>15</xdr:col>
      <xdr:colOff>47731</xdr:colOff>
      <xdr:row>12</xdr:row>
      <xdr:rowOff>139725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0449" y="1215871"/>
          <a:ext cx="1110068" cy="11100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561165</xdr:colOff>
      <xdr:row>12</xdr:row>
      <xdr:rowOff>163909</xdr:rowOff>
    </xdr:to>
    <xdr:pic>
      <xdr:nvPicPr>
        <xdr:cNvPr id="3" name="image1.jp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4"/>
  <sheetViews>
    <sheetView showGridLines="0" tabSelected="1" topLeftCell="H1" zoomScale="109" zoomScaleNormal="100" workbookViewId="0">
      <selection activeCell="N19" sqref="N19"/>
    </sheetView>
  </sheetViews>
  <sheetFormatPr baseColWidth="10" defaultColWidth="12" defaultRowHeight="15" customHeight="1" x14ac:dyDescent="0.2"/>
  <cols>
    <col min="1" max="1" width="2" customWidth="1"/>
    <col min="2" max="2" width="8" customWidth="1"/>
    <col min="3" max="3" width="23.25" customWidth="1"/>
    <col min="4" max="4" width="22.75" customWidth="1"/>
    <col min="5" max="5" width="23.25" customWidth="1"/>
    <col min="6" max="6" width="16.875" customWidth="1"/>
    <col min="7" max="7" width="29.625" customWidth="1"/>
    <col min="8" max="12" width="10.625" customWidth="1"/>
    <col min="13" max="13" width="37.125" customWidth="1"/>
    <col min="14" max="14" width="22.5" customWidth="1"/>
    <col min="15" max="15" width="21.625" customWidth="1"/>
    <col min="16" max="16" width="31.5" customWidth="1"/>
    <col min="17" max="26" width="9.25" customWidth="1"/>
  </cols>
  <sheetData>
    <row r="1" spans="2:16" x14ac:dyDescent="0.25">
      <c r="I1" s="1"/>
      <c r="J1" s="1"/>
      <c r="K1" s="2"/>
      <c r="L1" s="3"/>
    </row>
    <row r="2" spans="2:16" x14ac:dyDescent="0.25">
      <c r="I2" s="1"/>
      <c r="J2" s="1"/>
      <c r="K2" s="2"/>
      <c r="L2" s="3"/>
    </row>
    <row r="3" spans="2:16" ht="45" customHeight="1" x14ac:dyDescent="0.2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6" x14ac:dyDescent="0.25">
      <c r="H4" s="4"/>
      <c r="I4" s="1"/>
      <c r="J4" s="1"/>
      <c r="K4" s="2"/>
      <c r="L4" s="3"/>
    </row>
    <row r="5" spans="2:16" ht="39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8.25" customHeight="1" x14ac:dyDescent="0.2">
      <c r="B6" s="7" t="s">
        <v>15</v>
      </c>
      <c r="C6" s="8" t="s">
        <v>16</v>
      </c>
      <c r="D6" s="8" t="s">
        <v>79</v>
      </c>
      <c r="E6" s="8" t="s">
        <v>81</v>
      </c>
      <c r="F6" s="8" t="s">
        <v>80</v>
      </c>
      <c r="G6" s="8" t="s">
        <v>82</v>
      </c>
      <c r="H6" s="8" t="s">
        <v>17</v>
      </c>
      <c r="I6" s="8">
        <v>11</v>
      </c>
      <c r="J6" s="9">
        <v>46218</v>
      </c>
      <c r="K6" s="8" t="s">
        <v>18</v>
      </c>
      <c r="L6" s="8" t="s">
        <v>19</v>
      </c>
      <c r="M6" s="8" t="s">
        <v>83</v>
      </c>
      <c r="N6" s="8" t="s">
        <v>85</v>
      </c>
      <c r="O6" s="8" t="s">
        <v>84</v>
      </c>
    </row>
    <row r="7" spans="2:16" ht="128.25" customHeight="1" x14ac:dyDescent="0.2">
      <c r="B7" s="7" t="s">
        <v>20</v>
      </c>
      <c r="C7" s="8" t="s">
        <v>86</v>
      </c>
      <c r="D7" s="8" t="s">
        <v>87</v>
      </c>
      <c r="E7" s="8" t="s">
        <v>88</v>
      </c>
      <c r="F7" s="8" t="s">
        <v>80</v>
      </c>
      <c r="G7" s="8" t="s">
        <v>89</v>
      </c>
      <c r="H7" s="8" t="s">
        <v>21</v>
      </c>
      <c r="I7" s="8">
        <v>10</v>
      </c>
      <c r="J7" s="9">
        <v>46218</v>
      </c>
      <c r="K7" s="8" t="s">
        <v>18</v>
      </c>
      <c r="L7" s="8" t="s">
        <v>19</v>
      </c>
      <c r="M7" s="8" t="s">
        <v>93</v>
      </c>
      <c r="N7" s="8" t="s">
        <v>22</v>
      </c>
      <c r="O7" s="8" t="s">
        <v>23</v>
      </c>
    </row>
    <row r="8" spans="2:16" ht="100.5" customHeight="1" x14ac:dyDescent="0.2">
      <c r="B8" s="7" t="s">
        <v>24</v>
      </c>
      <c r="C8" s="8" t="s">
        <v>25</v>
      </c>
      <c r="D8" s="8" t="s">
        <v>26</v>
      </c>
      <c r="E8" s="8" t="s">
        <v>27</v>
      </c>
      <c r="F8" s="8" t="s">
        <v>80</v>
      </c>
      <c r="G8" s="8" t="s">
        <v>90</v>
      </c>
      <c r="H8" s="8" t="s">
        <v>21</v>
      </c>
      <c r="I8" s="8">
        <v>9</v>
      </c>
      <c r="J8" s="9">
        <v>46218</v>
      </c>
      <c r="K8" s="8" t="s">
        <v>18</v>
      </c>
      <c r="L8" s="8" t="s">
        <v>19</v>
      </c>
      <c r="M8" s="8" t="s">
        <v>91</v>
      </c>
      <c r="N8" s="8" t="s">
        <v>92</v>
      </c>
      <c r="O8" s="8" t="s">
        <v>28</v>
      </c>
    </row>
    <row r="9" spans="2:16" ht="96" customHeight="1" x14ac:dyDescent="0.2">
      <c r="B9" s="7" t="s">
        <v>29</v>
      </c>
      <c r="C9" s="8" t="s">
        <v>94</v>
      </c>
      <c r="D9" s="8" t="s">
        <v>95</v>
      </c>
      <c r="E9" s="8" t="s">
        <v>96</v>
      </c>
      <c r="F9" s="8" t="s">
        <v>80</v>
      </c>
      <c r="G9" s="8" t="s">
        <v>97</v>
      </c>
      <c r="H9" s="8" t="s">
        <v>30</v>
      </c>
      <c r="I9" s="8">
        <v>10</v>
      </c>
      <c r="J9" s="9">
        <v>46218</v>
      </c>
      <c r="K9" s="8" t="s">
        <v>18</v>
      </c>
      <c r="L9" s="8" t="s">
        <v>19</v>
      </c>
      <c r="M9" s="8" t="s">
        <v>98</v>
      </c>
      <c r="N9" s="8" t="s">
        <v>99</v>
      </c>
      <c r="O9" s="8" t="s">
        <v>31</v>
      </c>
      <c r="P9" s="93" t="s">
        <v>100</v>
      </c>
    </row>
    <row r="10" spans="2:16" ht="86.65" customHeight="1" x14ac:dyDescent="0.2">
      <c r="B10" s="7" t="s">
        <v>32</v>
      </c>
      <c r="C10" s="8" t="s">
        <v>33</v>
      </c>
      <c r="D10" s="8" t="s">
        <v>34</v>
      </c>
      <c r="E10" s="8" t="s">
        <v>101</v>
      </c>
      <c r="F10" s="8" t="s">
        <v>80</v>
      </c>
      <c r="G10" s="8" t="s">
        <v>102</v>
      </c>
      <c r="H10" s="8" t="s">
        <v>30</v>
      </c>
      <c r="I10" s="8">
        <v>8</v>
      </c>
      <c r="J10" s="9">
        <v>46218</v>
      </c>
      <c r="K10" s="8" t="s">
        <v>18</v>
      </c>
      <c r="L10" s="8" t="s">
        <v>19</v>
      </c>
      <c r="M10" s="8" t="s">
        <v>103</v>
      </c>
      <c r="N10" s="8" t="s">
        <v>35</v>
      </c>
      <c r="O10" s="8" t="s">
        <v>36</v>
      </c>
      <c r="P10" s="39"/>
    </row>
    <row r="11" spans="2:16" ht="89.65" customHeight="1" x14ac:dyDescent="0.2">
      <c r="B11" s="7" t="s">
        <v>37</v>
      </c>
      <c r="C11" s="8" t="s">
        <v>104</v>
      </c>
      <c r="D11" s="8" t="s">
        <v>38</v>
      </c>
      <c r="E11" s="8" t="s">
        <v>105</v>
      </c>
      <c r="F11" s="8" t="s">
        <v>80</v>
      </c>
      <c r="G11" s="8" t="s">
        <v>106</v>
      </c>
      <c r="H11" s="8" t="s">
        <v>17</v>
      </c>
      <c r="I11" s="8">
        <v>4</v>
      </c>
      <c r="J11" s="9">
        <v>46218</v>
      </c>
      <c r="K11" s="8" t="s">
        <v>18</v>
      </c>
      <c r="L11" s="8" t="s">
        <v>19</v>
      </c>
      <c r="M11" s="8" t="s">
        <v>107</v>
      </c>
      <c r="N11" s="8" t="s">
        <v>39</v>
      </c>
      <c r="O11" s="8" t="s">
        <v>40</v>
      </c>
    </row>
    <row r="12" spans="2:16" ht="82.5" customHeight="1" x14ac:dyDescent="0.2">
      <c r="B12" s="7" t="s">
        <v>41</v>
      </c>
      <c r="C12" s="8" t="s">
        <v>108</v>
      </c>
      <c r="D12" s="8" t="s">
        <v>109</v>
      </c>
      <c r="E12" s="8" t="s">
        <v>42</v>
      </c>
      <c r="F12" s="8" t="s">
        <v>80</v>
      </c>
      <c r="G12" s="8" t="s">
        <v>110</v>
      </c>
      <c r="H12" s="8" t="s">
        <v>30</v>
      </c>
      <c r="I12" s="8">
        <v>6</v>
      </c>
      <c r="J12" s="9">
        <v>46218</v>
      </c>
      <c r="K12" s="8" t="s">
        <v>18</v>
      </c>
      <c r="L12" s="10" t="s">
        <v>19</v>
      </c>
      <c r="M12" s="8" t="s">
        <v>111</v>
      </c>
      <c r="N12" s="8" t="s">
        <v>43</v>
      </c>
      <c r="O12" s="8" t="s">
        <v>44</v>
      </c>
    </row>
    <row r="13" spans="2:16" ht="131.25" customHeight="1" x14ac:dyDescent="0.2">
      <c r="B13" s="7" t="s">
        <v>45</v>
      </c>
      <c r="C13" s="8" t="s">
        <v>112</v>
      </c>
      <c r="D13" s="8" t="s">
        <v>46</v>
      </c>
      <c r="E13" s="8" t="s">
        <v>113</v>
      </c>
      <c r="F13" s="8" t="s">
        <v>80</v>
      </c>
      <c r="G13" s="8" t="s">
        <v>115</v>
      </c>
      <c r="H13" s="8" t="s">
        <v>21</v>
      </c>
      <c r="I13" s="8">
        <v>5</v>
      </c>
      <c r="J13" s="9">
        <v>46218</v>
      </c>
      <c r="K13" s="8" t="s">
        <v>18</v>
      </c>
      <c r="L13" s="8" t="s">
        <v>19</v>
      </c>
      <c r="M13" s="8" t="s">
        <v>114</v>
      </c>
      <c r="N13" s="8" t="s">
        <v>47</v>
      </c>
      <c r="O13" s="8" t="s">
        <v>48</v>
      </c>
    </row>
    <row r="14" spans="2:16" ht="112.5" customHeight="1" x14ac:dyDescent="0.2">
      <c r="B14" s="7" t="s">
        <v>49</v>
      </c>
      <c r="C14" s="8" t="s">
        <v>50</v>
      </c>
      <c r="D14" s="8" t="s">
        <v>51</v>
      </c>
      <c r="E14" s="8" t="s">
        <v>52</v>
      </c>
      <c r="F14" s="8" t="s">
        <v>80</v>
      </c>
      <c r="G14" s="8" t="s">
        <v>116</v>
      </c>
      <c r="H14" s="8" t="s">
        <v>53</v>
      </c>
      <c r="I14" s="8">
        <v>10</v>
      </c>
      <c r="J14" s="9">
        <v>46218</v>
      </c>
      <c r="K14" s="8" t="s">
        <v>18</v>
      </c>
      <c r="L14" s="8" t="s">
        <v>19</v>
      </c>
      <c r="M14" s="8" t="s">
        <v>117</v>
      </c>
      <c r="N14" s="8" t="s">
        <v>118</v>
      </c>
      <c r="O14" s="8" t="s">
        <v>55</v>
      </c>
    </row>
    <row r="15" spans="2:16" ht="100.9" customHeight="1" x14ac:dyDescent="0.2">
      <c r="B15" s="7" t="s">
        <v>56</v>
      </c>
      <c r="C15" s="8" t="s">
        <v>119</v>
      </c>
      <c r="D15" s="8" t="s">
        <v>57</v>
      </c>
      <c r="E15" s="8" t="s">
        <v>58</v>
      </c>
      <c r="F15" s="8" t="s">
        <v>80</v>
      </c>
      <c r="G15" s="8" t="s">
        <v>120</v>
      </c>
      <c r="H15" s="8" t="s">
        <v>21</v>
      </c>
      <c r="I15" s="8">
        <v>6</v>
      </c>
      <c r="J15" s="9">
        <v>46218</v>
      </c>
      <c r="K15" s="8" t="s">
        <v>18</v>
      </c>
      <c r="L15" s="8" t="s">
        <v>19</v>
      </c>
      <c r="M15" s="8" t="s">
        <v>121</v>
      </c>
      <c r="N15" s="8" t="s">
        <v>122</v>
      </c>
      <c r="O15" s="8" t="s">
        <v>59</v>
      </c>
    </row>
    <row r="16" spans="2:16" ht="108" customHeight="1" x14ac:dyDescent="0.2">
      <c r="B16" s="7" t="s">
        <v>60</v>
      </c>
      <c r="C16" s="8" t="s">
        <v>123</v>
      </c>
      <c r="D16" s="8" t="s">
        <v>124</v>
      </c>
      <c r="E16" s="8" t="s">
        <v>125</v>
      </c>
      <c r="F16" s="8" t="s">
        <v>80</v>
      </c>
      <c r="G16" s="8" t="s">
        <v>126</v>
      </c>
      <c r="H16" s="8" t="s">
        <v>30</v>
      </c>
      <c r="I16" s="8">
        <v>8</v>
      </c>
      <c r="J16" s="9">
        <v>46218</v>
      </c>
      <c r="K16" s="8" t="s">
        <v>18</v>
      </c>
      <c r="L16" s="8" t="s">
        <v>19</v>
      </c>
      <c r="M16" s="8" t="s">
        <v>127</v>
      </c>
      <c r="N16" s="8" t="s">
        <v>128</v>
      </c>
      <c r="O16" s="8" t="s">
        <v>62</v>
      </c>
    </row>
    <row r="17" spans="2:16" ht="103.5" customHeight="1" x14ac:dyDescent="0.2">
      <c r="B17" s="7" t="s">
        <v>63</v>
      </c>
      <c r="C17" s="8" t="s">
        <v>129</v>
      </c>
      <c r="D17" s="94" t="s">
        <v>130</v>
      </c>
      <c r="E17" s="37" t="s">
        <v>131</v>
      </c>
      <c r="F17" s="8" t="s">
        <v>80</v>
      </c>
      <c r="G17" s="37" t="s">
        <v>132</v>
      </c>
      <c r="H17" s="8" t="s">
        <v>17</v>
      </c>
      <c r="I17" s="36">
        <v>7</v>
      </c>
      <c r="J17" s="9">
        <v>46218</v>
      </c>
      <c r="K17" s="8" t="s">
        <v>18</v>
      </c>
      <c r="L17" s="8" t="s">
        <v>19</v>
      </c>
      <c r="M17" s="37" t="s">
        <v>133</v>
      </c>
      <c r="N17" s="37" t="s">
        <v>134</v>
      </c>
      <c r="O17" s="38" t="s">
        <v>64</v>
      </c>
      <c r="P17" s="93" t="s">
        <v>100</v>
      </c>
    </row>
    <row r="18" spans="2:16" ht="103.5" customHeight="1" x14ac:dyDescent="0.2">
      <c r="B18" s="7" t="s">
        <v>65</v>
      </c>
      <c r="C18" s="8" t="s">
        <v>135</v>
      </c>
      <c r="D18" s="8" t="s">
        <v>136</v>
      </c>
      <c r="E18" s="8" t="s">
        <v>137</v>
      </c>
      <c r="F18" s="8" t="s">
        <v>80</v>
      </c>
      <c r="G18" s="8" t="s">
        <v>138</v>
      </c>
      <c r="H18" s="8" t="s">
        <v>17</v>
      </c>
      <c r="I18" s="8">
        <v>5</v>
      </c>
      <c r="J18" s="9">
        <v>46218</v>
      </c>
      <c r="K18" s="8" t="s">
        <v>18</v>
      </c>
      <c r="L18" s="8" t="s">
        <v>19</v>
      </c>
      <c r="M18" s="8" t="s">
        <v>139</v>
      </c>
      <c r="N18" s="8" t="s">
        <v>140</v>
      </c>
      <c r="O18" s="8" t="s">
        <v>66</v>
      </c>
    </row>
    <row r="19" spans="2:16" ht="19.5" customHeight="1" x14ac:dyDescent="0.2">
      <c r="B19" s="11"/>
      <c r="C19" s="12"/>
      <c r="D19" s="12"/>
      <c r="E19" s="12"/>
      <c r="F19" s="12"/>
      <c r="G19" s="12"/>
      <c r="H19" s="12"/>
      <c r="I19" s="13"/>
      <c r="J19" s="14"/>
      <c r="K19" s="13"/>
      <c r="L19" s="13"/>
      <c r="M19" s="12"/>
      <c r="N19" s="12"/>
      <c r="O19" s="12"/>
    </row>
    <row r="20" spans="2:16" ht="19.5" customHeight="1" x14ac:dyDescent="0.2">
      <c r="B20" s="11"/>
      <c r="C20" s="12"/>
      <c r="D20" s="12"/>
      <c r="E20" s="12"/>
      <c r="F20" s="12"/>
      <c r="G20" s="12"/>
      <c r="H20" s="12"/>
      <c r="I20" s="13"/>
      <c r="J20" s="14"/>
      <c r="K20" s="13"/>
      <c r="L20" s="13"/>
      <c r="M20" s="12"/>
      <c r="N20" s="12"/>
      <c r="O20" s="12"/>
    </row>
    <row r="21" spans="2:16" ht="19.5" customHeight="1" x14ac:dyDescent="0.2">
      <c r="B21" s="11"/>
      <c r="C21" s="12"/>
      <c r="D21" s="12"/>
      <c r="E21" s="12"/>
      <c r="F21" s="12"/>
      <c r="G21" s="12"/>
      <c r="H21" s="12"/>
      <c r="I21" s="13"/>
      <c r="J21" s="14"/>
      <c r="K21" s="13"/>
      <c r="L21" s="13"/>
      <c r="M21" s="12"/>
      <c r="N21" s="12"/>
      <c r="O21" s="12"/>
    </row>
    <row r="22" spans="2:16" ht="19.5" customHeight="1" x14ac:dyDescent="0.2">
      <c r="B22" s="11"/>
      <c r="C22" s="12"/>
      <c r="D22" s="12"/>
      <c r="E22" s="12"/>
      <c r="F22" s="12"/>
      <c r="G22" s="12"/>
      <c r="H22" s="12"/>
      <c r="I22" s="13"/>
      <c r="J22" s="14"/>
      <c r="K22" s="13"/>
      <c r="L22" s="13"/>
      <c r="M22" s="12"/>
      <c r="N22" s="12"/>
      <c r="O22" s="12"/>
    </row>
    <row r="23" spans="2:16" ht="19.5" customHeight="1" x14ac:dyDescent="0.2">
      <c r="B23" s="11"/>
      <c r="C23" s="12"/>
      <c r="D23" s="12"/>
      <c r="E23" s="12"/>
      <c r="F23" s="12"/>
      <c r="G23" s="12"/>
      <c r="H23" s="12"/>
      <c r="I23" s="13"/>
      <c r="J23" s="14"/>
      <c r="K23" s="13"/>
      <c r="L23" s="13"/>
      <c r="M23" s="12"/>
      <c r="N23" s="12"/>
      <c r="O23" s="12"/>
    </row>
    <row r="24" spans="2:16" ht="19.5" customHeight="1" x14ac:dyDescent="0.2">
      <c r="I24" s="3"/>
      <c r="J24" s="3"/>
      <c r="K24" s="15"/>
      <c r="L24" s="3"/>
    </row>
    <row r="25" spans="2:16" ht="19.5" customHeight="1" x14ac:dyDescent="0.25">
      <c r="I25" s="1"/>
      <c r="J25" s="1"/>
      <c r="K25" s="2"/>
      <c r="L25" s="3"/>
    </row>
    <row r="26" spans="2:16" ht="19.5" customHeight="1" x14ac:dyDescent="0.25">
      <c r="I26" s="1"/>
      <c r="J26" s="1"/>
      <c r="K26" s="2"/>
      <c r="L26" s="3"/>
    </row>
    <row r="27" spans="2:16" ht="19.5" customHeight="1" x14ac:dyDescent="0.25">
      <c r="I27" s="1"/>
      <c r="J27" s="1"/>
      <c r="K27" s="2"/>
      <c r="L27" s="3"/>
    </row>
    <row r="28" spans="2:16" ht="19.5" customHeight="1" x14ac:dyDescent="0.2">
      <c r="I28" s="1"/>
      <c r="J28" s="1"/>
      <c r="K28" s="15"/>
      <c r="L28" s="3"/>
    </row>
    <row r="29" spans="2:16" ht="19.5" customHeight="1" x14ac:dyDescent="0.2">
      <c r="I29" s="1"/>
      <c r="J29" s="1"/>
      <c r="K29" s="15"/>
      <c r="L29" s="3"/>
    </row>
    <row r="30" spans="2:16" ht="19.5" customHeight="1" x14ac:dyDescent="0.25">
      <c r="I30" s="1"/>
      <c r="J30" s="1"/>
      <c r="K30" s="2"/>
      <c r="L30" s="3"/>
    </row>
    <row r="31" spans="2:16" ht="19.5" customHeight="1" x14ac:dyDescent="0.25">
      <c r="I31" s="1"/>
      <c r="J31" s="1"/>
      <c r="K31" s="2"/>
      <c r="L31" s="3"/>
    </row>
    <row r="32" spans="2:16" ht="19.5" customHeight="1" x14ac:dyDescent="0.25">
      <c r="I32" s="1"/>
      <c r="J32" s="1"/>
      <c r="K32" s="2"/>
      <c r="L32" s="3"/>
    </row>
    <row r="33" spans="9:13" ht="19.5" customHeight="1" x14ac:dyDescent="0.25">
      <c r="I33" s="1"/>
      <c r="J33" s="1"/>
      <c r="K33" s="2" t="s">
        <v>18</v>
      </c>
      <c r="L33" s="1" t="s">
        <v>61</v>
      </c>
      <c r="M33" s="4"/>
    </row>
    <row r="34" spans="9:13" ht="15.75" customHeight="1" x14ac:dyDescent="0.25">
      <c r="I34" s="1"/>
      <c r="J34" s="1"/>
      <c r="K34" s="2" t="s">
        <v>67</v>
      </c>
      <c r="L34" s="1" t="s">
        <v>54</v>
      </c>
      <c r="M34" s="4"/>
    </row>
    <row r="35" spans="9:13" ht="15.75" customHeight="1" x14ac:dyDescent="0.25">
      <c r="I35" s="1"/>
      <c r="J35" s="1"/>
      <c r="K35" s="2" t="s">
        <v>68</v>
      </c>
      <c r="L35" s="1" t="s">
        <v>19</v>
      </c>
      <c r="M35" s="4"/>
    </row>
    <row r="36" spans="9:13" ht="15.75" customHeight="1" x14ac:dyDescent="0.25">
      <c r="I36" s="1"/>
      <c r="J36" s="1"/>
      <c r="K36" s="2"/>
      <c r="L36" s="1" t="s">
        <v>69</v>
      </c>
      <c r="M36" s="4"/>
    </row>
    <row r="37" spans="9:13" ht="15.75" customHeight="1" x14ac:dyDescent="0.25">
      <c r="I37" s="1"/>
      <c r="J37" s="1"/>
      <c r="K37" s="2"/>
      <c r="L37" s="3"/>
    </row>
    <row r="38" spans="9:13" ht="15.75" customHeight="1" x14ac:dyDescent="0.25">
      <c r="I38" s="1"/>
      <c r="J38" s="1"/>
      <c r="K38" s="2"/>
      <c r="L38" s="3"/>
    </row>
    <row r="39" spans="9:13" ht="15.75" customHeight="1" x14ac:dyDescent="0.25">
      <c r="I39" s="1"/>
      <c r="J39" s="1"/>
      <c r="K39" s="2"/>
      <c r="L39" s="3"/>
    </row>
    <row r="40" spans="9:13" ht="15.75" customHeight="1" x14ac:dyDescent="0.25">
      <c r="I40" s="1"/>
      <c r="J40" s="1"/>
      <c r="K40" s="2"/>
      <c r="L40" s="3"/>
    </row>
    <row r="41" spans="9:13" ht="15.75" customHeight="1" x14ac:dyDescent="0.25">
      <c r="I41" s="1"/>
      <c r="J41" s="1"/>
      <c r="K41" s="2"/>
      <c r="L41" s="3"/>
    </row>
    <row r="42" spans="9:13" ht="15.75" customHeight="1" x14ac:dyDescent="0.25">
      <c r="I42" s="1"/>
      <c r="J42" s="1"/>
      <c r="K42" s="2"/>
      <c r="L42" s="3"/>
    </row>
    <row r="43" spans="9:13" ht="15.75" customHeight="1" x14ac:dyDescent="0.25">
      <c r="I43" s="1"/>
      <c r="J43" s="1"/>
      <c r="K43" s="2"/>
      <c r="L43" s="3"/>
    </row>
    <row r="44" spans="9:13" ht="15.75" customHeight="1" x14ac:dyDescent="0.25">
      <c r="I44" s="1"/>
      <c r="J44" s="1"/>
      <c r="K44" s="2"/>
      <c r="L44" s="3"/>
    </row>
    <row r="45" spans="9:13" ht="15.75" customHeight="1" x14ac:dyDescent="0.25">
      <c r="I45" s="1"/>
      <c r="J45" s="1"/>
      <c r="K45" s="2"/>
      <c r="L45" s="3"/>
    </row>
    <row r="46" spans="9:13" ht="15.75" customHeight="1" x14ac:dyDescent="0.25">
      <c r="I46" s="1"/>
      <c r="J46" s="1"/>
      <c r="K46" s="2"/>
      <c r="L46" s="3"/>
    </row>
    <row r="47" spans="9:13" ht="15.75" customHeight="1" x14ac:dyDescent="0.25">
      <c r="I47" s="1"/>
      <c r="J47" s="1"/>
      <c r="K47" s="2"/>
      <c r="L47" s="3"/>
    </row>
    <row r="48" spans="9:13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5">
      <c r="I989" s="1"/>
      <c r="J989" s="1"/>
      <c r="K989" s="2"/>
      <c r="L989" s="3"/>
    </row>
    <row r="990" spans="9:12" ht="15.75" customHeight="1" x14ac:dyDescent="0.25">
      <c r="I990" s="1"/>
      <c r="J990" s="1"/>
      <c r="K990" s="2"/>
      <c r="L990" s="3"/>
    </row>
    <row r="991" spans="9:12" ht="15.75" customHeight="1" x14ac:dyDescent="0.25">
      <c r="I991" s="1"/>
      <c r="J991" s="1"/>
      <c r="K991" s="2"/>
      <c r="L991" s="3"/>
    </row>
    <row r="992" spans="9:12" ht="15.75" customHeight="1" x14ac:dyDescent="0.25">
      <c r="I992" s="1"/>
      <c r="J992" s="1"/>
      <c r="K992" s="2"/>
      <c r="L992" s="3"/>
    </row>
    <row r="993" spans="9:12" ht="15.75" customHeight="1" x14ac:dyDescent="0.25">
      <c r="I993" s="1"/>
      <c r="J993" s="1"/>
      <c r="K993" s="2"/>
      <c r="L993" s="3"/>
    </row>
    <row r="994" spans="9:12" ht="15.75" customHeight="1" x14ac:dyDescent="0.25">
      <c r="I994" s="1"/>
      <c r="J994" s="1"/>
      <c r="K994" s="2"/>
      <c r="L994" s="3"/>
    </row>
    <row r="995" spans="9:12" ht="15.75" customHeight="1" x14ac:dyDescent="0.25">
      <c r="I995" s="1"/>
      <c r="J995" s="1"/>
      <c r="K995" s="2"/>
      <c r="L995" s="3"/>
    </row>
    <row r="996" spans="9:12" ht="15.75" customHeight="1" x14ac:dyDescent="0.25">
      <c r="I996" s="1"/>
      <c r="J996" s="1"/>
      <c r="K996" s="2"/>
      <c r="L996" s="3"/>
    </row>
    <row r="997" spans="9:12" ht="15.75" customHeight="1" x14ac:dyDescent="0.25">
      <c r="I997" s="1"/>
      <c r="J997" s="1"/>
      <c r="K997" s="2"/>
      <c r="L997" s="3"/>
    </row>
    <row r="998" spans="9:12" ht="15.75" customHeight="1" x14ac:dyDescent="0.25">
      <c r="I998" s="1"/>
      <c r="J998" s="1"/>
      <c r="K998" s="2"/>
      <c r="L998" s="3"/>
    </row>
    <row r="999" spans="9:12" ht="15.75" customHeight="1" x14ac:dyDescent="0.25">
      <c r="I999" s="1"/>
      <c r="J999" s="1"/>
      <c r="K999" s="2"/>
      <c r="L999" s="3"/>
    </row>
    <row r="1000" spans="9:12" ht="15" customHeight="1" x14ac:dyDescent="0.25">
      <c r="I1000" s="1"/>
      <c r="J1000" s="1"/>
      <c r="K1000" s="2"/>
      <c r="L1000" s="3"/>
    </row>
    <row r="1001" spans="9:12" ht="15" customHeight="1" x14ac:dyDescent="0.25">
      <c r="I1001" s="1"/>
      <c r="J1001" s="1"/>
      <c r="K1001" s="2"/>
      <c r="L1001" s="3"/>
    </row>
    <row r="1002" spans="9:12" ht="15" customHeight="1" x14ac:dyDescent="0.25">
      <c r="I1002" s="1"/>
      <c r="J1002" s="1"/>
      <c r="K1002" s="2"/>
      <c r="L1002" s="3"/>
    </row>
    <row r="1003" spans="9:12" ht="15" customHeight="1" x14ac:dyDescent="0.2">
      <c r="I1003" s="3"/>
      <c r="J1003" s="3"/>
      <c r="K1003" s="15"/>
      <c r="L1003" s="3"/>
    </row>
    <row r="1004" spans="9:12" ht="15" customHeight="1" x14ac:dyDescent="0.2">
      <c r="I1004" s="3"/>
      <c r="J1004" s="3"/>
      <c r="K1004" s="15"/>
      <c r="L1004" s="3"/>
    </row>
  </sheetData>
  <mergeCells count="1">
    <mergeCell ref="B3:O3"/>
  </mergeCells>
  <phoneticPr fontId="17" type="noConversion"/>
  <dataValidations count="2">
    <dataValidation type="list" allowBlank="1" showErrorMessage="1" sqref="K6:K23" xr:uid="{00000000-0002-0000-0000-000000000000}">
      <formula1>$K$33:$K$35</formula1>
    </dataValidation>
    <dataValidation type="list" allowBlank="1" showErrorMessage="1" sqref="L6:L23" xr:uid="{00000000-0002-0000-0000-000001000000}">
      <formula1>$L$33:$L$36</formula1>
    </dataValidation>
  </dataValidations>
  <printOptions horizontalCentered="1"/>
  <pageMargins left="0.31496062992126" right="0.31496062992126" top="0.74803149606299202" bottom="0.55118110236220497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102" workbookViewId="0">
      <selection activeCell="M15" sqref="M15:O17"/>
    </sheetView>
  </sheetViews>
  <sheetFormatPr baseColWidth="10" defaultColWidth="12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6"/>
      <c r="D4" s="16"/>
      <c r="E4" s="16"/>
      <c r="F4" s="4"/>
    </row>
    <row r="5" spans="2:16" hidden="1" x14ac:dyDescent="0.25">
      <c r="C5" s="16"/>
      <c r="D5" s="16"/>
      <c r="E5" s="16"/>
      <c r="F5" s="4"/>
    </row>
    <row r="6" spans="2:16" ht="39.75" customHeight="1" x14ac:dyDescent="0.2">
      <c r="B6" s="50" t="s">
        <v>70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46"/>
    </row>
    <row r="7" spans="2:16" ht="9.75" customHeight="1" x14ac:dyDescent="0.2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2:16" ht="9.75" customHeight="1" x14ac:dyDescent="0.25">
      <c r="B8" s="18"/>
      <c r="C8" s="19"/>
      <c r="D8" s="19"/>
      <c r="E8" s="19"/>
      <c r="F8" s="20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2:16" ht="30" customHeight="1" x14ac:dyDescent="0.2">
      <c r="B9" s="23"/>
      <c r="C9" s="24" t="s">
        <v>1</v>
      </c>
      <c r="D9" s="25"/>
      <c r="E9" s="45" t="s">
        <v>71</v>
      </c>
      <c r="F9" s="46"/>
      <c r="G9" s="25"/>
      <c r="H9" s="45" t="s">
        <v>11</v>
      </c>
      <c r="I9" s="46"/>
      <c r="J9" s="26"/>
      <c r="K9" s="26"/>
      <c r="L9" s="26"/>
      <c r="M9" s="26"/>
      <c r="N9" s="26"/>
      <c r="O9" s="26"/>
      <c r="P9" s="27"/>
    </row>
    <row r="10" spans="2:16" ht="30" customHeight="1" x14ac:dyDescent="0.2">
      <c r="B10" s="23"/>
      <c r="C10" s="28" t="s">
        <v>15</v>
      </c>
      <c r="D10" s="29"/>
      <c r="E10" s="47" t="str">
        <f>VLOOKUP(C10,'Formato descripción HU'!B6:O23,5,0)</f>
        <v>Administrador "Los Huertos del Juank"</v>
      </c>
      <c r="F10" s="48"/>
      <c r="G10" s="30"/>
      <c r="H10" s="49" t="str">
        <f>VLOOKUP(C10,'Formato descripción HU'!B6:O23,11,0)</f>
        <v>Terminado</v>
      </c>
      <c r="I10" s="46"/>
      <c r="J10" s="30"/>
      <c r="K10" s="26"/>
      <c r="L10" s="26"/>
      <c r="M10" s="26"/>
      <c r="N10" s="26"/>
      <c r="O10" s="26"/>
      <c r="P10" s="27"/>
    </row>
    <row r="11" spans="2:16" ht="9.75" customHeight="1" x14ac:dyDescent="0.2">
      <c r="B11" s="23"/>
      <c r="C11" s="31"/>
      <c r="D11" s="29"/>
      <c r="E11" s="32"/>
      <c r="F11" s="32"/>
      <c r="G11" s="30"/>
      <c r="H11" s="32"/>
      <c r="I11" s="32"/>
      <c r="J11" s="30"/>
      <c r="K11" s="32"/>
      <c r="L11" s="32"/>
      <c r="M11" s="26"/>
      <c r="N11" s="32"/>
      <c r="O11" s="32"/>
      <c r="P11" s="27"/>
    </row>
    <row r="12" spans="2:16" ht="30" customHeight="1" x14ac:dyDescent="0.2">
      <c r="B12" s="23"/>
      <c r="C12" s="24" t="s">
        <v>72</v>
      </c>
      <c r="D12" s="29"/>
      <c r="E12" s="45" t="s">
        <v>10</v>
      </c>
      <c r="F12" s="46"/>
      <c r="G12" s="30"/>
      <c r="H12" s="45" t="s">
        <v>73</v>
      </c>
      <c r="I12" s="46"/>
      <c r="J12" s="30"/>
      <c r="K12" s="32"/>
      <c r="L12" s="32"/>
      <c r="M12" s="26"/>
      <c r="N12" s="32"/>
      <c r="O12" s="32"/>
      <c r="P12" s="27"/>
    </row>
    <row r="13" spans="2:16" ht="30" customHeight="1" x14ac:dyDescent="0.2">
      <c r="B13" s="23"/>
      <c r="C13" s="28">
        <f>VLOOKUP('Historia de Usuario'!C10,'Formato descripción HU'!B6:O23,8,0)</f>
        <v>11</v>
      </c>
      <c r="D13" s="29"/>
      <c r="E13" s="49" t="str">
        <f>VLOOKUP(C10,'Formato descripción HU'!B6:O23,10,0)</f>
        <v>Alta</v>
      </c>
      <c r="F13" s="46"/>
      <c r="G13" s="30"/>
      <c r="H13" s="49" t="str">
        <f>VLOOKUP(C10,'Formato descripción HU'!B6:O23,7,0)</f>
        <v>Esteban Cuichan</v>
      </c>
      <c r="I13" s="46"/>
      <c r="J13" s="30"/>
      <c r="K13" s="32"/>
      <c r="L13" s="32"/>
      <c r="M13" s="26"/>
      <c r="N13" s="32"/>
      <c r="O13" s="32"/>
      <c r="P13" s="27"/>
    </row>
    <row r="14" spans="2:16" ht="9.75" customHeight="1" x14ac:dyDescent="0.2">
      <c r="B14" s="23"/>
      <c r="C14" s="26"/>
      <c r="D14" s="29"/>
      <c r="E14" s="26"/>
      <c r="F14" s="26"/>
      <c r="G14" s="30"/>
      <c r="H14" s="30"/>
      <c r="I14" s="26"/>
      <c r="J14" s="26"/>
      <c r="K14" s="26"/>
      <c r="L14" s="26"/>
      <c r="M14" s="26"/>
      <c r="N14" s="26"/>
      <c r="O14" s="26"/>
      <c r="P14" s="27"/>
    </row>
    <row r="15" spans="2:16" ht="19.5" customHeight="1" x14ac:dyDescent="0.2">
      <c r="B15" s="23"/>
      <c r="C15" s="42" t="s">
        <v>74</v>
      </c>
      <c r="D15" s="58" t="str">
        <f>VLOOKUP(C10,'Formato descripción HU'!B6:O23,3,0)</f>
        <v xml:space="preserve">Diseñar un menú principal de navegación para las distintas secciones del sistema. </v>
      </c>
      <c r="E15" s="53"/>
      <c r="F15" s="26"/>
      <c r="G15" s="42" t="s">
        <v>75</v>
      </c>
      <c r="H15" s="58" t="str">
        <f>VLOOKUP(C10,'Formato descripción HU'!B6:O23,4,0)</f>
        <v>Facilitar el acceso a los módulos del sistema: productos, clientes, ventas y reportes.</v>
      </c>
      <c r="I15" s="85"/>
      <c r="J15" s="53"/>
      <c r="K15" s="26"/>
      <c r="L15" s="42" t="s">
        <v>76</v>
      </c>
      <c r="M15" s="75" t="str">
        <f>VLOOKUP(C10,'Formato descripción HU'!B6:O23,6,0)</f>
        <v>1. Iniciar el sistema.
2. Visualizar la pantalla de carga.
3. Mostrar el menú principal.
4. Seleccionar el módulo deseado.</v>
      </c>
      <c r="N15" s="76"/>
      <c r="O15" s="77"/>
      <c r="P15" s="27"/>
    </row>
    <row r="16" spans="2:16" ht="19.5" customHeight="1" x14ac:dyDescent="0.2">
      <c r="B16" s="23"/>
      <c r="C16" s="43"/>
      <c r="D16" s="54"/>
      <c r="E16" s="55"/>
      <c r="F16" s="26"/>
      <c r="G16" s="43"/>
      <c r="H16" s="54"/>
      <c r="I16" s="41"/>
      <c r="J16" s="55"/>
      <c r="K16" s="26"/>
      <c r="L16" s="43"/>
      <c r="M16" s="78"/>
      <c r="N16" s="79"/>
      <c r="O16" s="80"/>
      <c r="P16" s="27"/>
    </row>
    <row r="17" spans="2:16" ht="19.5" customHeight="1" x14ac:dyDescent="0.2">
      <c r="B17" s="23"/>
      <c r="C17" s="44"/>
      <c r="D17" s="56"/>
      <c r="E17" s="57"/>
      <c r="F17" s="26"/>
      <c r="G17" s="44"/>
      <c r="H17" s="56"/>
      <c r="I17" s="86"/>
      <c r="J17" s="57"/>
      <c r="K17" s="26"/>
      <c r="L17" s="44"/>
      <c r="M17" s="81"/>
      <c r="N17" s="82"/>
      <c r="O17" s="83"/>
      <c r="P17" s="27"/>
    </row>
    <row r="18" spans="2:16" ht="9.75" customHeight="1" x14ac:dyDescent="0.2">
      <c r="B18" s="23"/>
      <c r="C18" s="26"/>
      <c r="D18" s="26"/>
      <c r="E18" s="26"/>
      <c r="F18" s="26"/>
      <c r="G18" s="30"/>
      <c r="H18" s="30"/>
      <c r="I18" s="30"/>
      <c r="J18" s="26"/>
      <c r="K18" s="26"/>
      <c r="L18" s="26"/>
      <c r="M18" s="26"/>
      <c r="N18" s="26"/>
      <c r="O18" s="26"/>
      <c r="P18" s="27"/>
    </row>
    <row r="19" spans="2:16" ht="19.5" customHeight="1" x14ac:dyDescent="0.2">
      <c r="B19" s="23"/>
      <c r="C19" s="84" t="s">
        <v>77</v>
      </c>
      <c r="D19" s="53"/>
      <c r="E19" s="87" t="str">
        <f>VLOOKUP(C10,'Formato descripción HU'!B6:O22,14,0)</f>
        <v xml:space="preserve"> Navegación por el Sistema</v>
      </c>
      <c r="F19" s="88"/>
      <c r="G19" s="88"/>
      <c r="H19" s="88"/>
      <c r="I19" s="88"/>
      <c r="J19" s="88"/>
      <c r="K19" s="88"/>
      <c r="L19" s="88"/>
      <c r="M19" s="88"/>
      <c r="N19" s="88"/>
      <c r="O19" s="89"/>
      <c r="P19" s="27"/>
    </row>
    <row r="20" spans="2:16" ht="19.5" customHeight="1" x14ac:dyDescent="0.2">
      <c r="B20" s="23"/>
      <c r="C20" s="56"/>
      <c r="D20" s="57"/>
      <c r="E20" s="90"/>
      <c r="F20" s="91"/>
      <c r="G20" s="91"/>
      <c r="H20" s="91"/>
      <c r="I20" s="91"/>
      <c r="J20" s="91"/>
      <c r="K20" s="91"/>
      <c r="L20" s="91"/>
      <c r="M20" s="91"/>
      <c r="N20" s="91"/>
      <c r="O20" s="92"/>
      <c r="P20" s="27"/>
    </row>
    <row r="21" spans="2:16" ht="9.75" customHeight="1" x14ac:dyDescent="0.2">
      <c r="B21" s="23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</row>
    <row r="22" spans="2:16" ht="19.5" customHeight="1" x14ac:dyDescent="0.2">
      <c r="B22" s="23"/>
      <c r="C22" s="52" t="s">
        <v>78</v>
      </c>
      <c r="D22" s="53"/>
      <c r="E22" s="58" t="str">
        <f>VLOOKUP(C10,'Formato descripción HU'!B6:O23,12,0)</f>
        <v>Dado que el administrador inicia el sistema, cuando selecciona un módulo del menú principal, entonces el sistema muestra la pantalla correspondiente.</v>
      </c>
      <c r="F22" s="59"/>
      <c r="G22" s="59"/>
      <c r="H22" s="60"/>
      <c r="I22" s="26"/>
      <c r="J22" s="52" t="s">
        <v>13</v>
      </c>
      <c r="K22" s="53"/>
      <c r="L22" s="58" t="str">
        <f>VLOOKUP(C10,'Formato descripción HU'!B6:O23,13,0)</f>
        <v xml:space="preserve">Botones o Inserciones para minimizar o cerrar el ejecutable del sistema </v>
      </c>
      <c r="M22" s="67"/>
      <c r="N22" s="67"/>
      <c r="O22" s="68"/>
      <c r="P22" s="27"/>
    </row>
    <row r="23" spans="2:16" ht="19.5" customHeight="1" x14ac:dyDescent="0.2">
      <c r="B23" s="23"/>
      <c r="C23" s="54"/>
      <c r="D23" s="55"/>
      <c r="E23" s="61"/>
      <c r="F23" s="62"/>
      <c r="G23" s="62"/>
      <c r="H23" s="63"/>
      <c r="I23" s="26"/>
      <c r="J23" s="54"/>
      <c r="K23" s="55"/>
      <c r="L23" s="69"/>
      <c r="M23" s="70"/>
      <c r="N23" s="70"/>
      <c r="O23" s="71"/>
      <c r="P23" s="27"/>
    </row>
    <row r="24" spans="2:16" ht="19.5" customHeight="1" x14ac:dyDescent="0.2">
      <c r="B24" s="23"/>
      <c r="C24" s="56"/>
      <c r="D24" s="57"/>
      <c r="E24" s="64"/>
      <c r="F24" s="65"/>
      <c r="G24" s="65"/>
      <c r="H24" s="66"/>
      <c r="I24" s="26"/>
      <c r="J24" s="56"/>
      <c r="K24" s="57"/>
      <c r="L24" s="72"/>
      <c r="M24" s="73"/>
      <c r="N24" s="73"/>
      <c r="O24" s="74"/>
      <c r="P24" s="27"/>
    </row>
    <row r="25" spans="2:16" ht="9.75" customHeight="1" x14ac:dyDescent="0.2"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5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B6:P6"/>
    <mergeCell ref="C22:D24"/>
    <mergeCell ref="E22:H24"/>
    <mergeCell ref="J22:K24"/>
    <mergeCell ref="L22:O24"/>
    <mergeCell ref="E12:F12"/>
    <mergeCell ref="M15:O17"/>
    <mergeCell ref="C19:D20"/>
    <mergeCell ref="H12:I12"/>
    <mergeCell ref="L15:L17"/>
    <mergeCell ref="E13:F13"/>
    <mergeCell ref="D15:E17"/>
    <mergeCell ref="G15:G17"/>
    <mergeCell ref="H15:J17"/>
    <mergeCell ref="E19:O20"/>
    <mergeCell ref="H13:I13"/>
    <mergeCell ref="C15:C17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Mateo Ct</cp:lastModifiedBy>
  <cp:revision/>
  <dcterms:created xsi:type="dcterms:W3CDTF">2019-10-21T20:37:00Z</dcterms:created>
  <dcterms:modified xsi:type="dcterms:W3CDTF">2026-07-15T04:13:21Z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