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F47DE9-1DB8-437C-8949-EAFDDFA45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<sst xmlns="http://schemas.openxmlformats.org/spreadsheetml/2006/main" count="132" uniqueCount="99">
  <si>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</si>
  <si>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</si>
  <si>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</si>
  <si>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</si>
  <si>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</si>
  <si>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</si>
  <si>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</si>
  <si>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</si>
  <si>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</si>
  <si>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</si>
  <si>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</si>
  <si>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</si>
  <si>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</si>
  <si>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</si>
  <si>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</si>
  <si>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</si>
  <si>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Interfaz grafica</t>
  </si>
  <si>
    <t>Permite ver los distintos modulos del aplicativo</t>
  </si>
  <si>
    <t>Una GUI clara que permita visualizar y redireccionar hacia los distintos modulos/funcionalidades del aplicativo</t>
  </si>
  <si>
    <t>Administrador "Los Huertos del Juanca"</t>
  </si>
  <si>
    <t>El usuario accede al sistema, y se le despliega la interfaz principal y mediante botones se redirecciona al formulario correspondiente</t>
  </si>
  <si>
    <t>Johan Catota</t>
  </si>
  <si>
    <t>Alta</t>
  </si>
  <si>
    <t>No iniciado</t>
  </si>
  <si>
    <t>Al presionar un boton se redireccione correctamente y aparezca el formulario que se busca</t>
  </si>
  <si>
    <t>"Error al abrir formulario" si no permite redireccionar despues de presionar el boton</t>
  </si>
  <si>
    <t>Sistema Principal</t>
  </si>
  <si>
    <t>REQ002</t>
  </si>
  <si>
    <t>Registrar información del cliente</t>
  </si>
  <si>
    <t xml:space="preserve">Llevar un registro de los clientes </t>
  </si>
  <si>
    <t>Ingresar al cliente y tener un registro sobre el y poder identificarlo</t>
  </si>
  <si>
    <t>realizar el ingreso de nombre, apellido, cedula, número de télefono, fecha de nacimiento y dirección"</t>
  </si>
  <si>
    <t>Eatan Ayala</t>
  </si>
  <si>
    <t>Al terminar el ingreso visualizar en la base de datos que aparezca registrado el cliente</t>
  </si>
  <si>
    <t>"Cliente correctamente registrado" cuando el cliente sea registrado</t>
  </si>
  <si>
    <t>Registro de información de clientes</t>
  </si>
  <si>
    <t>REQ003</t>
  </si>
  <si>
    <t>Modificación del registro de Clientes</t>
  </si>
  <si>
    <t>Modificar y gestionar la informacion ingresada de los clientes</t>
  </si>
  <si>
    <t>Corregir, actualizar o eliminar datos de los clientes ingresados en la base de datos</t>
  </si>
  <si>
    <t>Precargar los datos del cliente mediante su ID, y gestionar estos mismos mediante un formulario</t>
  </si>
  <si>
    <t>Se visualiza en la base de datos la informacion del cliente ya cambiada/eliminada</t>
  </si>
  <si>
    <t>"Error al modificar/eliminar" si no se logro cambiar en la base de datos</t>
  </si>
  <si>
    <t>Gestion de Clientes</t>
  </si>
  <si>
    <t>REQ004</t>
  </si>
  <si>
    <t>Registro de contacto de clientes potenciales</t>
  </si>
  <si>
    <t>Tener una lista de posibles clientes</t>
  </si>
  <si>
    <t>Ingresar personas que no sean clientes , pero han mostrado interes en los productos</t>
  </si>
  <si>
    <t>Mediante un formulario registrar los datos de contacto de estos posibles clientes</t>
  </si>
  <si>
    <t>Al realizar el ingreso, aparece en una tabla diferente a los clientes, junto con su informacion de contacto</t>
  </si>
  <si>
    <t>"Usuario guardado como cliente potencial" una vez que se haga el registro</t>
  </si>
  <si>
    <t>Registro de clientes potenciales</t>
  </si>
  <si>
    <t>REQ005</t>
  </si>
  <si>
    <t>Modificación de contactos de posibles clientes</t>
  </si>
  <si>
    <t>Modificar y gestionar el contacto de los clientes potenciales</t>
  </si>
  <si>
    <t>Corregir, actualizar o eliminar el contacto de los posibles clientes</t>
  </si>
  <si>
    <t>Se modifica la tabla de clientes potenciales en la base de datos</t>
  </si>
  <si>
    <t>"Modificación realizada correctamente" en caso de que todo funcione correctamente</t>
  </si>
  <si>
    <t>Gestion de Clientes Potenciales</t>
  </si>
  <si>
    <t>REQ006</t>
  </si>
  <si>
    <t>REQ007</t>
  </si>
  <si>
    <t>REQ008</t>
  </si>
  <si>
    <t>permitir generar una nota de venta, acorde la venta realizada</t>
  </si>
  <si>
    <t>En base a la venta registrada, generar una nota de venta para imprimir o enviar al cliente</t>
  </si>
  <si>
    <t>Al finalizar el registro de venta, permitir seleccionar "Imprimir nota de venta", y generar el documento</t>
  </si>
  <si>
    <t>Esteban Cuichan</t>
  </si>
  <si>
    <t>Registrar la venta, y generar su respectiva nota de venta</t>
  </si>
  <si>
    <t>"Generando nota de venta" cuando se cree el archivo</t>
  </si>
  <si>
    <t>Generar nota de venta</t>
  </si>
  <si>
    <t>Generación reportes Excel</t>
  </si>
  <si>
    <t>generar reportes por ventas, sector, venta por cliente,fecha</t>
  </si>
  <si>
    <t>Generar reportes de ventas, sector y ranking del cliente con mas compras, en Excel con tablas dinámicas</t>
  </si>
  <si>
    <t>Ingresar al formuario de reportes y seleccionar el tipo de reporte que desea generar, definir el periodo y el sistema genera el reporte en Excel</t>
  </si>
  <si>
    <t>Generar el tipo de reporte, con el periodo seleccionado</t>
  </si>
  <si>
    <t>"Generando reporte" cuando se cree el reporte en Excel</t>
  </si>
  <si>
    <t>Generación de Reportes Excel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</si>
  <si>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</si>
  <si>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</si>
  <si>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</si>
  <si>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</si>
  <si>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</si>
  <si>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</si>
  <si>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</si>
  <si>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</si>
  <si>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</si>
  <si>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</si>
  <si>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</si>
  <si>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</si>
  <si>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</si>
  <si>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</si>
  <si>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Registro de ventas</t>
  </si>
  <si>
    <t>Permite registrar cada venta realizada en el día, asociándola a un cliente,
producto y tipo de pago</t>
  </si>
  <si>
    <t>ingresar las ventas diarias de cada cliente para conocer las ganancias y el cliente que mas compro</t>
  </si>
  <si>
    <t>Alimenta el reporte Excel de ventas, ranking de productos y clientes con mayor consumo.</t>
  </si>
  <si>
    <t>Venta registrada y asociada al cliente Total, calculado automáticamente Datos disponibles para reportes diarios, semanales y mensuales</t>
  </si>
  <si>
    <t>mediante un formulario de ventas con los datos de cada venta registrada por cada cleinte</t>
  </si>
  <si>
    <t xml:space="preserve">Katerine Caizaluisa </t>
  </si>
  <si>
    <t>Registro de Ventas</t>
  </si>
  <si>
    <t>Generación de una nota 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</si>
</sst>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name val="Arial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i/>
      <sz val="16"/>
      <color rgb="FF000000"/>
      <name val="Calibri"/>
      <charset val="134"/>
    </font>
    <font>
      <sz val="11"/>
      <color rgb="FF000000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name val="Arial"/>
      <charset val="134"/>
    </font>
    <font>
      <b/>
      <sz val="11"/>
      <color rgb="FFFFFFFF"/>
      <name val="Calibri"/>
      <charset val="134"/>
    </font>
    <font>
      <b/>
      <sz val="11"/>
      <color rgb="FFFA7D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b/>
      <i/>
      <sz val="12"/>
      <color rgb="FF9C6500"/>
      <name val="Calibri"/>
      <charset val="134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Border="1" applyAlignme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164" fontId="8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3" borderId="9" xfId="0" applyFont="1" applyFill="1" applyBorder="1" applyAlignment="1"/>
    <xf numFmtId="0" fontId="10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2" fillId="3" borderId="12" xfId="0" applyFont="1" applyFill="1" applyBorder="1" applyAlignment="1"/>
    <xf numFmtId="0" fontId="13" fillId="4" borderId="13" xfId="0" applyFont="1" applyFill="1" applyBorder="1" applyAlignment="1">
      <alignment horizontal="center" vertical="center"/>
    </xf>
    <xf numFmtId="0" fontId="14" fillId="3" borderId="0" xfId="0" applyFont="1" applyFill="1" applyBorder="1">
      <alignment vertical="center"/>
    </xf>
    <xf numFmtId="0" fontId="2" fillId="3" borderId="0" xfId="0" applyFont="1" applyFill="1" applyBorder="1" applyAlignment="1"/>
    <xf numFmtId="0" fontId="2" fillId="3" borderId="14" xfId="0" applyFont="1" applyFill="1" applyBorder="1" applyAlignment="1"/>
    <xf numFmtId="0" fontId="15" fillId="5" borderId="1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>
      <alignment vertical="center"/>
    </xf>
    <xf numFmtId="0" fontId="15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3" borderId="18" xfId="0" applyFont="1" applyFill="1" applyBorder="1" applyAlignment="1"/>
    <xf numFmtId="0" fontId="2" fillId="3" borderId="20" xfId="0" applyFont="1" applyFill="1" applyBorder="1" applyAlignment="1"/>
    <xf numFmtId="0" fontId="2" fillId="3" borderId="19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5" fillId="2" borderId="21" xfId="0" applyFont="1" applyFill="1" applyBorder="1" applyAlignment="1">
      <alignment horizontal="center" vertical="center"/>
    </xf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" fillId="5" borderId="6" xfId="0" applyFont="1" applyFill="1" applyBorder="1" applyAlignment="1">
      <alignment horizontal="center" vertical="center"/>
    </xf>
    <xf numFmtId="0" fontId="12" fillId="0" borderId="8" xfId="0" applyFont="1" applyBorder="1" applyAlignment="1"/>
    <xf numFmtId="0" fontId="13" fillId="6" borderId="15" xfId="0" applyFont="1" applyFill="1" applyBorder="1" applyAlignment="1">
      <alignment horizontal="center" vertical="center"/>
    </xf>
    <xf numFmtId="0" fontId="12" fillId="0" borderId="16" xfId="0" applyFont="1" applyBorder="1" applyAlignment="1"/>
    <xf numFmtId="0" fontId="12" fillId="0" borderId="17" xfId="0" applyFont="1" applyBorder="1" applyAlignment="1"/>
    <xf numFmtId="0" fontId="13" fillId="4" borderId="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2" fillId="0" borderId="11" xfId="0" applyFont="1" applyBorder="1" applyAlignment="1"/>
    <xf numFmtId="0" fontId="12" fillId="0" borderId="12" xfId="0" applyFont="1" applyBorder="1" applyAlignment="1"/>
    <xf numFmtId="0" fontId="12" fillId="0" borderId="14" xfId="0" applyFont="1" applyBorder="1" applyAlignment="1"/>
    <xf numFmtId="0" fontId="12" fillId="0" borderId="18" xfId="0" applyFont="1" applyBorder="1" applyAlignment="1"/>
    <xf numFmtId="0" fontId="12" fillId="0" borderId="19" xfId="0" applyFont="1" applyBorder="1" applyAlignment="1"/>
    <xf numFmtId="0" fontId="1" fillId="5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17" fillId="0" borderId="14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17" fillId="0" borderId="20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9" fillId="7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2" fillId="0" borderId="10" xfId="0" applyFont="1" applyBorder="1" applyAlignment="1"/>
    <xf numFmtId="0" fontId="12" fillId="0" borderId="20" xfId="0" applyFont="1" applyBorder="1" applyAlignment="1"/>
    <xf numFmtId="0" fontId="11" fillId="3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/>
    <xf numFmtId="0" fontId="20" fillId="0" borderId="0" xfId="0" applyFont="1" applyAlignment="1">
      <alignment wrapText="1"/>
    </xf>
    <xf numFmtId="0" fontId="20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wrapText="1"/>
    </xf>
  </cellXfs>
  <cellStyles count="1">
    <cellStyle name="Normal" xfId="0" builtinId="0"/>
  </cellStyles>
  <dxfs count="4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266402</xdr:rowOff>
    </xdr:from>
    <xdr:to>
      <xdr:col>15</xdr:col>
      <xdr:colOff>50906</xdr:colOff>
      <xdr:row>12</xdr:row>
      <xdr:rowOff>160734</xdr:rowOff>
    </xdr:to>
    <xdr:pic>
      <xdr:nvPicPr>
        <xdr:cNvPr id="2" name="image2.jpg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331450" y="1209675"/>
          <a:ext cx="1066800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557990</xdr:colOff>
      <xdr:row>12</xdr:row>
      <xdr:rowOff>160734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abSelected="1" zoomScale="93" workbookViewId="0">
      <selection activeCell="P11" sqref="P11"/>
    </sheetView>
  </sheetViews>
  <sheetFormatPr baseColWidth="10" defaultColWidth="12" defaultRowHeight="15" customHeight="1"/>
  <cols>
    <col min="1" max="1" width="2" customWidth="1"/>
    <col min="2" max="2" width="8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3" width="32.296875" customWidth="1"/>
    <col min="14" max="15" width="20.59765625" customWidth="1"/>
    <col min="16" max="26" width="9.296875" customWidth="1"/>
  </cols>
  <sheetData>
    <row r="1" spans="2:16" ht="14.4">
      <c r="I1" s="1"/>
      <c r="J1" s="1"/>
      <c r="K1" s="2"/>
      <c r="L1" s="3"/>
    </row>
    <row r="2" spans="2:16" ht="14.4">
      <c r="I2" s="1"/>
      <c r="J2" s="1"/>
      <c r="K2" s="2"/>
      <c r="L2" s="3"/>
    </row>
    <row r="3" spans="2:16" ht="45" customHeight="1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6" ht="14.4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>
      <c r="B6" s="7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8">
        <v>8</v>
      </c>
      <c r="J6" s="9"/>
      <c r="K6" s="8" t="s">
        <v>22</v>
      </c>
      <c r="L6" s="8" t="s">
        <v>23</v>
      </c>
      <c r="M6" s="8" t="s">
        <v>24</v>
      </c>
      <c r="N6" s="8" t="s">
        <v>25</v>
      </c>
      <c r="O6" s="8" t="s">
        <v>26</v>
      </c>
    </row>
    <row r="7" spans="2:16" ht="67.5" customHeight="1">
      <c r="B7" s="7" t="s">
        <v>27</v>
      </c>
      <c r="C7" s="8" t="s">
        <v>28</v>
      </c>
      <c r="D7" s="8" t="s">
        <v>29</v>
      </c>
      <c r="E7" s="8" t="s">
        <v>30</v>
      </c>
      <c r="F7" s="8" t="s">
        <v>19</v>
      </c>
      <c r="G7" s="8" t="s">
        <v>31</v>
      </c>
      <c r="H7" s="8" t="s">
        <v>32</v>
      </c>
      <c r="I7" s="8">
        <v>7</v>
      </c>
      <c r="J7" s="9"/>
      <c r="K7" s="8" t="s">
        <v>22</v>
      </c>
      <c r="L7" s="8" t="s">
        <v>23</v>
      </c>
      <c r="M7" s="10" t="s">
        <v>33</v>
      </c>
      <c r="N7" s="8" t="s">
        <v>34</v>
      </c>
      <c r="O7" s="8" t="s">
        <v>35</v>
      </c>
    </row>
    <row r="8" spans="2:16" ht="77.25" customHeight="1">
      <c r="B8" s="7" t="s">
        <v>36</v>
      </c>
      <c r="C8" s="8" t="s">
        <v>37</v>
      </c>
      <c r="D8" s="8" t="s">
        <v>38</v>
      </c>
      <c r="E8" s="8" t="s">
        <v>39</v>
      </c>
      <c r="F8" s="8" t="s">
        <v>19</v>
      </c>
      <c r="G8" s="8" t="s">
        <v>40</v>
      </c>
      <c r="H8" s="8" t="s">
        <v>32</v>
      </c>
      <c r="I8" s="8">
        <v>4</v>
      </c>
      <c r="J8" s="9"/>
      <c r="K8" s="8" t="s">
        <v>22</v>
      </c>
      <c r="L8" s="8" t="s">
        <v>23</v>
      </c>
      <c r="M8" s="8" t="s">
        <v>41</v>
      </c>
      <c r="N8" s="8" t="s">
        <v>42</v>
      </c>
      <c r="O8" s="8" t="s">
        <v>43</v>
      </c>
    </row>
    <row r="9" spans="2:16" ht="77.25" customHeight="1">
      <c r="B9" s="7" t="s">
        <v>44</v>
      </c>
      <c r="C9" s="8" t="s">
        <v>45</v>
      </c>
      <c r="D9" s="8" t="s">
        <v>46</v>
      </c>
      <c r="E9" s="8" t="s">
        <v>47</v>
      </c>
      <c r="F9" s="8" t="s">
        <v>19</v>
      </c>
      <c r="G9" s="8" t="s">
        <v>48</v>
      </c>
      <c r="H9" s="8" t="s">
        <v>21</v>
      </c>
      <c r="I9" s="7">
        <v>5</v>
      </c>
      <c r="J9" s="9"/>
      <c r="K9" s="8" t="s">
        <v>22</v>
      </c>
      <c r="L9" s="8" t="s">
        <v>23</v>
      </c>
      <c r="M9" s="8" t="s">
        <v>49</v>
      </c>
      <c r="N9" s="8" t="s">
        <v>50</v>
      </c>
      <c r="O9" s="8" t="s">
        <v>51</v>
      </c>
      <c r="P9" s="11"/>
    </row>
    <row r="10" spans="2:16" ht="71.25" customHeight="1">
      <c r="B10" s="7" t="s">
        <v>52</v>
      </c>
      <c r="C10" s="8" t="s">
        <v>53</v>
      </c>
      <c r="D10" s="8" t="s">
        <v>54</v>
      </c>
      <c r="E10" s="8" t="s">
        <v>55</v>
      </c>
      <c r="F10" s="8" t="s">
        <v>19</v>
      </c>
      <c r="G10" s="8" t="s">
        <v>40</v>
      </c>
      <c r="H10" s="8" t="s">
        <v>21</v>
      </c>
      <c r="I10" s="8">
        <v>3</v>
      </c>
      <c r="J10" s="9"/>
      <c r="K10" s="8" t="s">
        <v>22</v>
      </c>
      <c r="L10" s="8" t="s">
        <v>23</v>
      </c>
      <c r="M10" s="12" t="s">
        <v>56</v>
      </c>
      <c r="N10" s="8" t="s">
        <v>57</v>
      </c>
      <c r="O10" s="8" t="s">
        <v>58</v>
      </c>
    </row>
    <row r="11" spans="2:16" ht="71.25" customHeight="1">
      <c r="B11" s="7" t="s">
        <v>59</v>
      </c>
      <c r="C11" s="95" t="s">
        <v>97</v>
      </c>
      <c r="D11" s="93" t="s">
        <v>91</v>
      </c>
      <c r="E11" s="8" t="s">
        <v>92</v>
      </c>
      <c r="F11" s="8" t="s">
        <v>19</v>
      </c>
      <c r="G11" s="8" t="s">
        <v>95</v>
      </c>
      <c r="H11" s="8" t="s">
        <v>96</v>
      </c>
      <c r="I11" s="7">
        <v>4</v>
      </c>
      <c r="J11" s="9"/>
      <c r="K11" s="8" t="s">
        <v>22</v>
      </c>
      <c r="L11" s="13" t="s">
        <v>23</v>
      </c>
      <c r="M11" s="96" t="s">
        <v>94</v>
      </c>
      <c r="N11" s="93" t="s">
        <v>93</v>
      </c>
      <c r="O11" s="8" t="s">
        <v>90</v>
      </c>
    </row>
    <row r="12" spans="2:16" ht="81.45" customHeight="1">
      <c r="B12" s="7" t="s">
        <v>60</v>
      </c>
      <c r="C12" s="95" t="s">
        <v>98</v>
      </c>
      <c r="D12" s="8" t="s">
        <v>62</v>
      </c>
      <c r="E12" s="8" t="s">
        <v>63</v>
      </c>
      <c r="F12" s="8" t="s">
        <v>19</v>
      </c>
      <c r="G12" s="8" t="s">
        <v>64</v>
      </c>
      <c r="H12" s="8" t="s">
        <v>65</v>
      </c>
      <c r="I12" s="7">
        <v>3</v>
      </c>
      <c r="J12" s="9"/>
      <c r="K12" s="8" t="s">
        <v>22</v>
      </c>
      <c r="L12" s="8" t="s">
        <v>23</v>
      </c>
      <c r="M12" s="94" t="s">
        <v>66</v>
      </c>
      <c r="N12" s="8" t="s">
        <v>67</v>
      </c>
      <c r="O12" s="8" t="s">
        <v>68</v>
      </c>
    </row>
    <row r="13" spans="2:16" ht="81.45" customHeight="1">
      <c r="B13" s="7" t="s">
        <v>61</v>
      </c>
      <c r="C13" s="8" t="s">
        <v>69</v>
      </c>
      <c r="D13" s="8" t="s">
        <v>70</v>
      </c>
      <c r="E13" s="8" t="s">
        <v>71</v>
      </c>
      <c r="F13" s="8" t="s">
        <v>19</v>
      </c>
      <c r="G13" s="8" t="s">
        <v>72</v>
      </c>
      <c r="H13" s="8" t="s">
        <v>65</v>
      </c>
      <c r="I13" s="8">
        <v>5</v>
      </c>
      <c r="J13" s="9"/>
      <c r="K13" s="8" t="s">
        <v>22</v>
      </c>
      <c r="L13" s="8" t="s">
        <v>23</v>
      </c>
      <c r="M13" s="8" t="s">
        <v>73</v>
      </c>
      <c r="N13" s="8" t="s">
        <v>74</v>
      </c>
      <c r="O13" s="8" t="s">
        <v>75</v>
      </c>
    </row>
    <row r="14" spans="2:16" ht="39.75" customHeight="1">
      <c r="B14" s="14"/>
      <c r="C14" s="15"/>
      <c r="D14" s="15"/>
      <c r="E14" s="15"/>
      <c r="F14" s="15"/>
      <c r="G14" s="15"/>
      <c r="H14" s="15"/>
      <c r="I14" s="16"/>
      <c r="J14" s="17"/>
      <c r="K14" s="16"/>
      <c r="L14" s="16"/>
      <c r="M14" s="17"/>
      <c r="N14" s="17"/>
      <c r="O14" s="17"/>
    </row>
    <row r="15" spans="2:16" ht="39.75" customHeight="1">
      <c r="B15" s="14"/>
      <c r="C15" s="15"/>
      <c r="D15" s="15"/>
      <c r="E15" s="15"/>
      <c r="F15" s="15"/>
      <c r="G15" s="15"/>
      <c r="H15" s="15"/>
      <c r="I15" s="16"/>
      <c r="J15" s="17"/>
      <c r="K15" s="16"/>
      <c r="L15" s="16"/>
      <c r="M15" s="15"/>
      <c r="N15" s="15"/>
      <c r="O15" s="15"/>
    </row>
    <row r="16" spans="2:16" ht="39.75" customHeight="1">
      <c r="B16" s="14"/>
      <c r="C16" s="15"/>
      <c r="D16" s="15"/>
      <c r="E16" s="15"/>
      <c r="F16" s="15"/>
      <c r="G16" s="15"/>
      <c r="H16" s="15"/>
      <c r="I16" s="16"/>
      <c r="J16" s="17"/>
      <c r="K16" s="16"/>
      <c r="L16" s="16"/>
      <c r="M16" s="15"/>
      <c r="N16" s="15"/>
      <c r="O16" s="15"/>
    </row>
    <row r="17" spans="2:15" ht="39.75" customHeight="1">
      <c r="B17" s="14"/>
      <c r="C17" s="15"/>
      <c r="D17" s="15"/>
      <c r="E17" s="15"/>
      <c r="F17" s="15"/>
      <c r="G17" s="15"/>
      <c r="H17" s="15"/>
      <c r="I17" s="16"/>
      <c r="J17" s="17"/>
      <c r="K17" s="16"/>
      <c r="L17" s="16"/>
      <c r="M17" s="15"/>
      <c r="N17" s="15"/>
      <c r="O17" s="15"/>
    </row>
    <row r="18" spans="2:15" ht="39.75" customHeight="1">
      <c r="B18" s="14"/>
      <c r="C18" s="15"/>
      <c r="D18" s="15"/>
      <c r="E18" s="15"/>
      <c r="F18" s="15"/>
      <c r="G18" s="15"/>
      <c r="H18" s="15"/>
      <c r="I18" s="16"/>
      <c r="J18" s="17"/>
      <c r="K18" s="16"/>
      <c r="L18" s="16"/>
      <c r="M18" s="15"/>
      <c r="N18" s="15"/>
      <c r="O18" s="15"/>
    </row>
    <row r="19" spans="2:15" ht="19.5" customHeight="1">
      <c r="B19" s="14"/>
      <c r="C19" s="15"/>
      <c r="D19" s="15"/>
      <c r="E19" s="15"/>
      <c r="F19" s="15"/>
      <c r="G19" s="15"/>
      <c r="H19" s="15"/>
      <c r="I19" s="16"/>
      <c r="J19" s="17"/>
      <c r="K19" s="16"/>
      <c r="L19" s="16"/>
      <c r="M19" s="15"/>
      <c r="N19" s="15"/>
      <c r="O19" s="15"/>
    </row>
    <row r="20" spans="2:15" ht="19.5" customHeight="1">
      <c r="B20" s="14"/>
      <c r="C20" s="15"/>
      <c r="D20" s="15"/>
      <c r="E20" s="15"/>
      <c r="F20" s="15"/>
      <c r="G20" s="15"/>
      <c r="H20" s="15"/>
      <c r="I20" s="16"/>
      <c r="J20" s="17"/>
      <c r="K20" s="16"/>
      <c r="L20" s="16"/>
      <c r="M20" s="15"/>
      <c r="N20" s="15"/>
      <c r="O20" s="15"/>
    </row>
    <row r="21" spans="2:15" ht="19.5" customHeight="1">
      <c r="B21" s="14"/>
      <c r="C21" s="15"/>
      <c r="D21" s="15"/>
      <c r="E21" s="15"/>
      <c r="F21" s="15"/>
      <c r="G21" s="15"/>
      <c r="H21" s="15"/>
      <c r="I21" s="16"/>
      <c r="J21" s="17"/>
      <c r="K21" s="16"/>
      <c r="L21" s="16"/>
      <c r="M21" s="15"/>
      <c r="N21" s="15"/>
      <c r="O21" s="15"/>
    </row>
    <row r="22" spans="2:15" ht="19.5" customHeight="1">
      <c r="I22" s="3"/>
      <c r="J22" s="3"/>
      <c r="K22" s="18"/>
      <c r="L22" s="3"/>
    </row>
    <row r="23" spans="2:15" ht="19.5" customHeight="1">
      <c r="I23" s="1"/>
      <c r="J23" s="1"/>
      <c r="K23" s="2"/>
      <c r="L23" s="3"/>
    </row>
    <row r="24" spans="2:15" ht="19.5" customHeight="1">
      <c r="I24" s="1"/>
      <c r="J24" s="1"/>
      <c r="K24" s="2"/>
      <c r="L24" s="3"/>
    </row>
    <row r="25" spans="2:15" ht="19.5" customHeight="1">
      <c r="I25" s="1"/>
      <c r="J25" s="1"/>
      <c r="K25" s="2"/>
      <c r="L25" s="3"/>
    </row>
    <row r="26" spans="2:15" ht="19.5" customHeight="1">
      <c r="I26" s="1"/>
      <c r="J26" s="1"/>
      <c r="K26" s="19"/>
      <c r="L26" s="3"/>
    </row>
    <row r="27" spans="2:15" ht="19.5" customHeight="1">
      <c r="I27" s="1"/>
      <c r="J27" s="1"/>
      <c r="K27" s="19"/>
      <c r="L27" s="3"/>
    </row>
    <row r="28" spans="2:15" ht="19.5" customHeight="1">
      <c r="I28" s="1"/>
      <c r="J28" s="1"/>
      <c r="K28" s="2"/>
      <c r="L28" s="3"/>
    </row>
    <row r="29" spans="2:15" ht="19.5" customHeight="1">
      <c r="I29" s="1"/>
      <c r="J29" s="1"/>
      <c r="K29" s="2"/>
      <c r="L29" s="3"/>
    </row>
    <row r="30" spans="2:15" ht="19.5" customHeight="1">
      <c r="I30" s="1"/>
      <c r="J30" s="1"/>
      <c r="K30" s="2"/>
      <c r="L30" s="3"/>
    </row>
    <row r="31" spans="2:15" ht="19.5" customHeight="1">
      <c r="I31" s="1"/>
      <c r="J31" s="1"/>
      <c r="K31" s="2" t="s">
        <v>22</v>
      </c>
      <c r="L31" s="1" t="s">
        <v>23</v>
      </c>
      <c r="M31" s="4"/>
    </row>
    <row r="32" spans="2:15" ht="19.5" customHeight="1">
      <c r="I32" s="1"/>
      <c r="J32" s="1"/>
      <c r="K32" s="2" t="s">
        <v>76</v>
      </c>
      <c r="L32" s="1" t="s">
        <v>77</v>
      </c>
      <c r="M32" s="4"/>
    </row>
    <row r="33" spans="9:13" ht="19.5" customHeight="1">
      <c r="I33" s="1"/>
      <c r="J33" s="1"/>
      <c r="K33" s="2" t="s">
        <v>78</v>
      </c>
      <c r="L33" s="1" t="s">
        <v>79</v>
      </c>
      <c r="M33" s="4"/>
    </row>
    <row r="34" spans="9:13" ht="15.75" customHeight="1">
      <c r="I34" s="1"/>
      <c r="J34" s="1"/>
      <c r="K34" s="2"/>
      <c r="L34" s="1" t="s">
        <v>80</v>
      </c>
      <c r="M34" s="4"/>
    </row>
    <row r="35" spans="9:13" ht="15.75" customHeight="1">
      <c r="I35" s="1"/>
      <c r="J35" s="1"/>
      <c r="K35" s="2"/>
      <c r="L35" s="3"/>
    </row>
    <row r="36" spans="9:13" ht="15.75" customHeight="1">
      <c r="I36" s="1"/>
      <c r="J36" s="1"/>
      <c r="K36" s="2"/>
      <c r="L36" s="3"/>
    </row>
    <row r="37" spans="9:13" ht="15.75" customHeight="1">
      <c r="I37" s="1"/>
      <c r="J37" s="1"/>
      <c r="K37" s="2"/>
      <c r="L37" s="3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" customHeight="1">
      <c r="I1000" s="1"/>
      <c r="J1000" s="1"/>
      <c r="K1000" s="2"/>
      <c r="L1000" s="3"/>
    </row>
    <row r="1001" spans="9:12" ht="15" customHeight="1">
      <c r="I1001" s="3"/>
      <c r="J1001" s="3"/>
      <c r="K1001" s="18"/>
      <c r="L1001" s="3"/>
    </row>
    <row r="1002" spans="9:12" ht="15" customHeight="1">
      <c r="I1002" s="3"/>
      <c r="J1002" s="3"/>
      <c r="K1002" s="18"/>
      <c r="L1002" s="3"/>
    </row>
  </sheetData>
  <mergeCells count="1">
    <mergeCell ref="B3:O3"/>
  </mergeCells>
  <dataValidations count="2">
    <dataValidation type="list" allowBlank="1" showErrorMessage="1" sqref="K6:K21" xr:uid="{00000000-0002-0000-0000-000000000000}">
      <formula1>$K$31:$K$33</formula1>
    </dataValidation>
    <dataValidation type="list" allowBlank="1" showErrorMessage="1" sqref="L6:L21" xr:uid="{00000000-0002-0000-0000-000001000000}">
      <formula1>$L$31:$L$34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workbookViewId="0">
      <selection activeCell="C10" sqref="C10"/>
    </sheetView>
  </sheetViews>
  <sheetFormatPr baseColWidth="10" defaultColWidth="12" defaultRowHeight="15" customHeight="1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/>
    <row r="3" spans="2:16" ht="15" hidden="1" customHeight="1"/>
    <row r="4" spans="2:16" ht="14.4" hidden="1">
      <c r="C4" s="20"/>
      <c r="D4" s="20"/>
      <c r="E4" s="20"/>
      <c r="F4" s="4"/>
    </row>
    <row r="5" spans="2:16" ht="14.4" hidden="1">
      <c r="C5" s="20"/>
      <c r="D5" s="20"/>
      <c r="E5" s="20"/>
      <c r="F5" s="4"/>
    </row>
    <row r="6" spans="2:16" ht="39.75" customHeight="1">
      <c r="B6" s="91" t="s">
        <v>81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49"/>
    </row>
    <row r="7" spans="2:16" ht="9.75" customHeight="1"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2:16" ht="9.75" customHeight="1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" ht="30" customHeight="1">
      <c r="B9" s="27"/>
      <c r="C9" s="28" t="s">
        <v>1</v>
      </c>
      <c r="D9" s="29"/>
      <c r="E9" s="53" t="s">
        <v>82</v>
      </c>
      <c r="F9" s="49"/>
      <c r="G9" s="29"/>
      <c r="H9" s="53" t="s">
        <v>11</v>
      </c>
      <c r="I9" s="49"/>
      <c r="J9" s="30"/>
      <c r="K9" s="30"/>
      <c r="L9" s="30"/>
      <c r="M9" s="30"/>
      <c r="N9" s="30"/>
      <c r="O9" s="30"/>
      <c r="P9" s="31"/>
    </row>
    <row r="10" spans="2:16" ht="30" customHeight="1">
      <c r="B10" s="27"/>
      <c r="C10" s="32" t="s">
        <v>15</v>
      </c>
      <c r="D10" s="33"/>
      <c r="E10" s="87" t="str">
        <f>VLOOKUP(C10,'Formato descripción HU'!B6:O21,5,0)</f>
        <v>Administrador "Los Huertos del Juanca"</v>
      </c>
      <c r="F10" s="88"/>
      <c r="G10" s="34"/>
      <c r="H10" s="48" t="str">
        <f>VLOOKUP(C10,'Formato descripción HU'!B6:O21,11,0)</f>
        <v>No iniciado</v>
      </c>
      <c r="I10" s="49"/>
      <c r="J10" s="34"/>
      <c r="K10" s="30"/>
      <c r="L10" s="30"/>
      <c r="M10" s="30"/>
      <c r="N10" s="30"/>
      <c r="O10" s="30"/>
      <c r="P10" s="31"/>
    </row>
    <row r="11" spans="2:16" ht="9.75" customHeight="1"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</row>
    <row r="12" spans="2:16" ht="30" customHeight="1">
      <c r="B12" s="27"/>
      <c r="C12" s="28" t="s">
        <v>83</v>
      </c>
      <c r="D12" s="33"/>
      <c r="E12" s="53" t="s">
        <v>10</v>
      </c>
      <c r="F12" s="49"/>
      <c r="G12" s="34"/>
      <c r="H12" s="53" t="s">
        <v>84</v>
      </c>
      <c r="I12" s="49"/>
      <c r="J12" s="34"/>
      <c r="K12" s="36"/>
      <c r="L12" s="36"/>
      <c r="M12" s="30"/>
      <c r="N12" s="36"/>
      <c r="O12" s="36"/>
      <c r="P12" s="31"/>
    </row>
    <row r="13" spans="2:16" ht="30" customHeight="1">
      <c r="B13" s="27"/>
      <c r="C13" s="32">
        <f>VLOOKUP('Historia de Usuario'!C10,'Formato descripción HU'!B6:O21,8,0)</f>
        <v>8</v>
      </c>
      <c r="D13" s="33"/>
      <c r="E13" s="48" t="str">
        <f>VLOOKUP(C10,'Formato descripción HU'!B6:O21,10,0)</f>
        <v>Alta</v>
      </c>
      <c r="F13" s="49"/>
      <c r="G13" s="34"/>
      <c r="H13" s="48" t="str">
        <f>VLOOKUP(C10,'Formato descripción HU'!B6:O21,7,0)</f>
        <v>Johan Catota</v>
      </c>
      <c r="I13" s="49"/>
      <c r="J13" s="34"/>
      <c r="K13" s="36"/>
      <c r="L13" s="36"/>
      <c r="M13" s="30"/>
      <c r="N13" s="36"/>
      <c r="O13" s="36"/>
      <c r="P13" s="31"/>
    </row>
    <row r="14" spans="2:16" ht="9.75" customHeight="1"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</row>
    <row r="15" spans="2:16" ht="19.5" customHeight="1">
      <c r="B15" s="27"/>
      <c r="C15" s="50" t="s">
        <v>85</v>
      </c>
      <c r="D15" s="60" t="str">
        <f>VLOOKUP(C10,'Formato descripción HU'!B6:O21,3,0)</f>
        <v>Permite ver los distintos modulos del aplicativo</v>
      </c>
      <c r="E15" s="55"/>
      <c r="F15" s="30"/>
      <c r="G15" s="50" t="s">
        <v>86</v>
      </c>
      <c r="H15" s="60" t="str">
        <f>VLOOKUP(C10,'Formato descripción HU'!B6:O21,4,0)</f>
        <v>Una GUI clara que permita visualizar y redireccionar hacia los distintos modulos/funcionalidades del aplicativo</v>
      </c>
      <c r="I15" s="89"/>
      <c r="J15" s="55"/>
      <c r="K15" s="30"/>
      <c r="L15" s="50" t="s">
        <v>87</v>
      </c>
      <c r="M15" s="77" t="str">
        <f>VLOOKUP(C10,'Formato descripción HU'!B6:O21,6,0)</f>
        <v>El usuario accede al sistema, y se le despliega la interfaz principal y mediante botones se redirecciona al formulario correspondiente</v>
      </c>
      <c r="N15" s="78"/>
      <c r="O15" s="79"/>
      <c r="P15" s="31"/>
    </row>
    <row r="16" spans="2:16" ht="19.5" customHeight="1">
      <c r="B16" s="27"/>
      <c r="C16" s="51"/>
      <c r="D16" s="56"/>
      <c r="E16" s="57"/>
      <c r="F16" s="30"/>
      <c r="G16" s="51"/>
      <c r="H16" s="56"/>
      <c r="I16" s="41"/>
      <c r="J16" s="57"/>
      <c r="K16" s="30"/>
      <c r="L16" s="51"/>
      <c r="M16" s="80"/>
      <c r="N16" s="81"/>
      <c r="O16" s="82"/>
      <c r="P16" s="31"/>
    </row>
    <row r="17" spans="2:16" ht="19.5" customHeight="1">
      <c r="B17" s="27"/>
      <c r="C17" s="52"/>
      <c r="D17" s="58"/>
      <c r="E17" s="59"/>
      <c r="F17" s="30"/>
      <c r="G17" s="52"/>
      <c r="H17" s="58"/>
      <c r="I17" s="90"/>
      <c r="J17" s="59"/>
      <c r="K17" s="30"/>
      <c r="L17" s="52"/>
      <c r="M17" s="83"/>
      <c r="N17" s="84"/>
      <c r="O17" s="85"/>
      <c r="P17" s="31"/>
    </row>
    <row r="18" spans="2:16" ht="9.75" customHeight="1"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</row>
    <row r="19" spans="2:16" ht="19.5" customHeight="1">
      <c r="B19" s="27"/>
      <c r="C19" s="86" t="s">
        <v>88</v>
      </c>
      <c r="D19" s="55"/>
      <c r="E19" s="42" t="str">
        <f>VLOOKUP(C10,'Formato descripción HU'!B6:O20,14,0)</f>
        <v>Sistema Principal</v>
      </c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31"/>
    </row>
    <row r="20" spans="2:16" ht="19.5" customHeight="1">
      <c r="B20" s="27"/>
      <c r="C20" s="58"/>
      <c r="D20" s="59"/>
      <c r="E20" s="45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31"/>
    </row>
    <row r="21" spans="2:16" ht="9.75" customHeight="1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</row>
    <row r="22" spans="2:16" ht="19.5" customHeight="1">
      <c r="B22" s="27"/>
      <c r="C22" s="54" t="s">
        <v>89</v>
      </c>
      <c r="D22" s="55"/>
      <c r="E22" s="60" t="str">
        <f>VLOOKUP(C10,'Formato descripción HU'!B6:O21,12,0)</f>
        <v>Al presionar un boton se redireccione correctamente y aparezca el formulario que se busca</v>
      </c>
      <c r="F22" s="61"/>
      <c r="G22" s="61"/>
      <c r="H22" s="62"/>
      <c r="I22" s="30"/>
      <c r="J22" s="54" t="s">
        <v>13</v>
      </c>
      <c r="K22" s="55"/>
      <c r="L22" s="60" t="str">
        <f>VLOOKUP(C10,'Formato descripción HU'!B6:O21,13,0)</f>
        <v>"Error al abrir formulario" si no permite redireccionar despues de presionar el boton</v>
      </c>
      <c r="M22" s="69"/>
      <c r="N22" s="69"/>
      <c r="O22" s="70"/>
      <c r="P22" s="31"/>
    </row>
    <row r="23" spans="2:16" ht="19.5" customHeight="1">
      <c r="B23" s="27"/>
      <c r="C23" s="56"/>
      <c r="D23" s="57"/>
      <c r="E23" s="63"/>
      <c r="F23" s="64"/>
      <c r="G23" s="64"/>
      <c r="H23" s="65"/>
      <c r="I23" s="30"/>
      <c r="J23" s="56"/>
      <c r="K23" s="57"/>
      <c r="L23" s="71"/>
      <c r="M23" s="72"/>
      <c r="N23" s="72"/>
      <c r="O23" s="73"/>
      <c r="P23" s="31"/>
    </row>
    <row r="24" spans="2:16" ht="19.5" customHeight="1">
      <c r="B24" s="27"/>
      <c r="C24" s="58"/>
      <c r="D24" s="59"/>
      <c r="E24" s="66"/>
      <c r="F24" s="67"/>
      <c r="G24" s="67"/>
      <c r="H24" s="68"/>
      <c r="I24" s="30"/>
      <c r="J24" s="58"/>
      <c r="K24" s="59"/>
      <c r="L24" s="74"/>
      <c r="M24" s="75"/>
      <c r="N24" s="75"/>
      <c r="O24" s="76"/>
      <c r="P24" s="31"/>
    </row>
    <row r="25" spans="2:16" ht="9.75" customHeight="1"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2" operator="equal">
      <formula>"Terminado"</formula>
    </cfRule>
    <cfRule type="cellIs" dxfId="2" priority="1" operator="equal">
      <formula>"Atrasado"</formula>
    </cfRule>
    <cfRule type="cellIs" dxfId="1" priority="4" operator="equal">
      <formula>"No Iniciado"</formula>
    </cfRule>
    <cfRule type="cellIs" dxfId="0" priority="3" operator="equal">
      <formula>"En proceso"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Mateo Ct</cp:lastModifiedBy>
  <dcterms:created xsi:type="dcterms:W3CDTF">2019-10-21T20:37:00Z</dcterms:created>
  <dcterms:modified xsi:type="dcterms:W3CDTF">2026-05-15T18:14:15Z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