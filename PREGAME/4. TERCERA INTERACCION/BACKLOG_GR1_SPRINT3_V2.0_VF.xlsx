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 USUARIO\Downloads\"/>
    </mc:Choice>
  </mc:AlternateContent>
  <xr:revisionPtr revIDLastSave="0" documentId="13_ncr:1_{89472911-8474-4DB0-AD59-97A6585CB0BE}" xr6:coauthVersionLast="47" xr6:coauthVersionMax="47" xr10:uidLastSave="{00000000-0000-0000-0000-000000000000}"/>
  <bookViews>
    <workbookView xWindow="-120" yWindow="-120" windowWidth="20730" windowHeight="11040" activeTab="1" xr2:uid="{2E38D486-FA11-402D-9DA8-79A0F1EF6C23}"/>
  </bookViews>
  <sheets>
    <sheet name="BackLog" sheetId="1" r:id="rId1"/>
    <sheet name="Sprint 3" sheetId="2" r:id="rId2"/>
    <sheet name="Budorchant 3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6" i="3" l="1"/>
  <c r="D146" i="3" s="1"/>
  <c r="E146" i="3" s="1"/>
  <c r="F146" i="3" s="1"/>
  <c r="G146" i="3" s="1"/>
  <c r="H146" i="3" s="1"/>
  <c r="I146" i="3" s="1"/>
  <c r="J146" i="3" s="1"/>
  <c r="J145" i="3"/>
  <c r="I145" i="3"/>
  <c r="H145" i="3"/>
  <c r="G145" i="3"/>
  <c r="F145" i="3"/>
  <c r="E145" i="3"/>
  <c r="D145" i="3"/>
  <c r="K145" i="3" s="1"/>
  <c r="C145" i="3"/>
  <c r="K144" i="3"/>
  <c r="K143" i="3"/>
  <c r="K142" i="3"/>
  <c r="K141" i="3"/>
  <c r="C111" i="3"/>
  <c r="D111" i="3" s="1"/>
  <c r="E111" i="3" s="1"/>
  <c r="F111" i="3" s="1"/>
  <c r="G111" i="3" s="1"/>
  <c r="H111" i="3" s="1"/>
  <c r="I111" i="3" s="1"/>
  <c r="J111" i="3" s="1"/>
  <c r="J110" i="3"/>
  <c r="I110" i="3"/>
  <c r="K110" i="3" s="1"/>
  <c r="H110" i="3"/>
  <c r="G110" i="3"/>
  <c r="F110" i="3"/>
  <c r="E110" i="3"/>
  <c r="D110" i="3"/>
  <c r="C110" i="3"/>
  <c r="K109" i="3"/>
  <c r="K108" i="3"/>
  <c r="K107" i="3"/>
  <c r="K106" i="3"/>
  <c r="E50" i="3"/>
  <c r="F50" i="3" s="1"/>
  <c r="G50" i="3" s="1"/>
  <c r="H50" i="3" s="1"/>
  <c r="I50" i="3" s="1"/>
  <c r="J50" i="3" s="1"/>
  <c r="D50" i="3"/>
  <c r="C50" i="3"/>
  <c r="J49" i="3"/>
  <c r="I49" i="3"/>
  <c r="H49" i="3"/>
  <c r="G49" i="3"/>
  <c r="F49" i="3"/>
  <c r="E49" i="3"/>
  <c r="D49" i="3"/>
  <c r="K49" i="3" s="1"/>
  <c r="C49" i="3"/>
  <c r="K48" i="3"/>
  <c r="K47" i="3"/>
  <c r="K46" i="3"/>
  <c r="K45" i="3"/>
  <c r="K44" i="3"/>
  <c r="C13" i="3"/>
  <c r="D13" i="3" s="1"/>
  <c r="E13" i="3" s="1"/>
  <c r="F13" i="3" s="1"/>
  <c r="G13" i="3" s="1"/>
  <c r="H13" i="3" s="1"/>
  <c r="I13" i="3" s="1"/>
  <c r="J13" i="3" s="1"/>
  <c r="J12" i="3"/>
  <c r="I12" i="3"/>
  <c r="H12" i="3"/>
  <c r="G12" i="3"/>
  <c r="F12" i="3"/>
  <c r="E12" i="3"/>
  <c r="D12" i="3"/>
  <c r="K12" i="3" s="1"/>
  <c r="C12" i="3"/>
  <c r="K11" i="3"/>
  <c r="K10" i="3"/>
  <c r="K9" i="3"/>
  <c r="K8" i="3"/>
  <c r="K7" i="3"/>
  <c r="J24" i="2"/>
  <c r="J19" i="2"/>
  <c r="J13" i="2"/>
  <c r="J4" i="2"/>
  <c r="L4" i="3" l="1"/>
</calcChain>
</file>

<file path=xl/sharedStrings.xml><?xml version="1.0" encoding="utf-8"?>
<sst xmlns="http://schemas.openxmlformats.org/spreadsheetml/2006/main" count="211" uniqueCount="97">
  <si>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</si>
  <si>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</si>
  <si>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</si>
  <si>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</si>
  <si>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</si>
  <si>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</si>
  <si>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</si>
  <si>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</si>
  <si>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REQ010</t>
  </si>
  <si>
    <t>Catalogo de Productos</t>
  </si>
  <si>
    <t>Administrador del sistema</t>
  </si>
  <si>
    <t xml:space="preserve">Visualizar los productos registrados con su imagen, nombre, tamaño y precio </t>
  </si>
  <si>
    <t>Seleccionar y agregar productos de forma rápida al momento de realizar una venta</t>
  </si>
  <si>
    <t>Alta</t>
  </si>
  <si>
    <t>Terminado</t>
  </si>
  <si>
    <t>REQ011</t>
  </si>
  <si>
    <t xml:space="preserve">Registros de Ventas </t>
  </si>
  <si>
    <t>Registrar las ventas realizadas en el sistema.</t>
  </si>
  <si>
    <t>Llevar el seguimiento a ventas realizadas.</t>
  </si>
  <si>
    <t>-</t>
  </si>
  <si>
    <t>REQ012</t>
  </si>
  <si>
    <t>Nota Venta</t>
  </si>
  <si>
    <t>Generar una nota de venta digital con el detalle de la compra para su impresión o entrega al cliente.</t>
  </si>
  <si>
    <t xml:space="preserve">Entregar un comprobante de la compra al cliente </t>
  </si>
  <si>
    <t>REQ013</t>
  </si>
  <si>
    <t>Exportar Reportes Excel</t>
  </si>
  <si>
    <t>Exportar los datos consolidados de ventas y clientes a un archivo Excel estructurado.</t>
  </si>
  <si>
    <t>Entender el desempeño del negocio mediante resumen y graficos Excel.</t>
  </si>
  <si>
    <t>SPRINT 3</t>
  </si>
  <si>
    <t>Modulo de Ventas y Almacenamiento Excel</t>
  </si>
  <si>
    <t>Necesito</t>
  </si>
  <si>
    <t>así podre...</t>
  </si>
  <si>
    <t>Prioridad</t>
  </si>
  <si>
    <t>Status</t>
  </si>
  <si>
    <t>Administrador del Sistema</t>
  </si>
  <si>
    <t>#intentos</t>
  </si>
  <si>
    <t>No iniciada</t>
  </si>
  <si>
    <t>Tareas</t>
  </si>
  <si>
    <t>Asignado</t>
  </si>
  <si>
    <t>REQ010-1</t>
  </si>
  <si>
    <t>Diseñar interfaz del catálogo</t>
  </si>
  <si>
    <t>Johan Catota</t>
  </si>
  <si>
    <t>REQ010-2</t>
  </si>
  <si>
    <t>Integrar repositorio de productos de forma dinamica</t>
  </si>
  <si>
    <t>REQ010-3</t>
  </si>
  <si>
    <t>Gestionar  Uso de imágenes de productos</t>
  </si>
  <si>
    <t>REQ010-4</t>
  </si>
  <si>
    <t xml:space="preserve">Implementar selección de producto </t>
  </si>
  <si>
    <t>REQ010-5</t>
  </si>
  <si>
    <t>Optimizar carga y refresco de Catalogo</t>
  </si>
  <si>
    <t>Registro de Ventas</t>
  </si>
  <si>
    <t>REQ011-1</t>
  </si>
  <si>
    <t>Diseñar interfaz Ventas</t>
  </si>
  <si>
    <t>Eatan Ayala</t>
  </si>
  <si>
    <t>REQ011-2</t>
  </si>
  <si>
    <t>Permitir busqueda por Nombre para seleccionar cliente "Activo" en una tabla</t>
  </si>
  <si>
    <t>REQ011-3</t>
  </si>
  <si>
    <t>Agregar producto a un carrito de compras al seleccionarlo</t>
  </si>
  <si>
    <t>REQ011-4</t>
  </si>
  <si>
    <t>Agregar cantidad de producto a comprar</t>
  </si>
  <si>
    <t>REQ011-5</t>
  </si>
  <si>
    <t>Guardar en base de datos la venta y los detalles de la misma</t>
  </si>
  <si>
    <t>Emisión Nota Venta</t>
  </si>
  <si>
    <t>REQ013-1</t>
  </si>
  <si>
    <t>Generar búsqueda dínamica por nombres para obtener la venta de cada cliente.</t>
  </si>
  <si>
    <t>Esteban Cuichan</t>
  </si>
  <si>
    <t>REQ012-2</t>
  </si>
  <si>
    <t>Conectar la búsqueda con la tabla de ventas</t>
  </si>
  <si>
    <t>REQ012-3</t>
  </si>
  <si>
    <t>Generar una vista previa de la nota de venta tipo PDF</t>
  </si>
  <si>
    <t>REQ012-4</t>
  </si>
  <si>
    <t>Generar la exportación de nota de venta en PDF</t>
  </si>
  <si>
    <t>Crear filtramiento por fechas para la exportación</t>
  </si>
  <si>
    <t>REQ013-2</t>
  </si>
  <si>
    <t>Vincular filtramiento por fechas con la tabla de ventas</t>
  </si>
  <si>
    <t>REQ013-3</t>
  </si>
  <si>
    <t>Crear boton para exportar ventas a Excel</t>
  </si>
  <si>
    <t>REQ013-4</t>
  </si>
  <si>
    <t>Generar Excel con gráficos analiticos sobre las ventas en el rango de fecha ingresado</t>
  </si>
  <si>
    <t>SPRINT 3  -Ventas y reportes</t>
  </si>
  <si>
    <t xml:space="preserve">SUMA SPRINT </t>
  </si>
  <si>
    <t>REQ010 - CATALOGO DE PRODUCTOS</t>
  </si>
  <si>
    <t>Estimado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</si>
  <si>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</si>
  <si>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</si>
  <si>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</si>
  <si>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</si>
  <si>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</si>
  <si>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</si>
  <si>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</si>
  <si>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</si>
  <si>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</si>
  <si>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</si>
  <si>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REQ011 -REGISTRO DE VENTAS</t>
  </si>
  <si>
    <t>REQ012 -EMISION DE NOTA DE VENTA</t>
  </si>
  <si>
    <t>REQ012-1</t>
  </si>
  <si>
    <t>REQ013 -EXPORTACION DE REPORTES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</si>
</sst>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theme="1"/>
      <name val="Arial"/>
      <family val="2"/>
    </font>
    <font>
      <sz val="10"/>
      <color theme="4"/>
      <name val="Calibri"/>
      <family val="2"/>
      <scheme val="minor"/>
    </font>
    <font>
      <sz val="10"/>
      <color theme="4"/>
      <name val="Arial"/>
      <family val="2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wrapText="1"/>
    </xf>
    <xf numFmtId="0" fontId="4" fillId="0" borderId="2" xfId="1" applyFont="1" applyBorder="1" applyAlignment="1">
      <alignment horizontal="center" vertical="center" wrapText="1"/>
    </xf>
    <xf numFmtId="0" fontId="1" fillId="2" borderId="2" xfId="3" applyFill="1" applyBorder="1"/>
    <xf numFmtId="0" fontId="1" fillId="2" borderId="2" xfId="3" applyFill="1" applyBorder="1" applyAlignment="1">
      <alignment horizontal="left" vertical="center" wrapText="1"/>
    </xf>
    <xf numFmtId="0" fontId="2" fillId="0" borderId="3" xfId="3" applyFont="1" applyBorder="1" applyAlignment="1">
      <alignment horizontal="center"/>
    </xf>
    <xf numFmtId="0" fontId="5" fillId="3" borderId="2" xfId="3" applyFont="1" applyFill="1" applyBorder="1"/>
    <xf numFmtId="0" fontId="1" fillId="4" borderId="2" xfId="2" applyFill="1" applyBorder="1" applyAlignment="1">
      <alignment horizontal="left" vertical="center" wrapText="1"/>
    </xf>
    <xf numFmtId="0" fontId="5" fillId="3" borderId="2" xfId="3" applyFont="1" applyFill="1" applyBorder="1" applyAlignment="1">
      <alignment horizontal="left" wrapText="1"/>
    </xf>
    <xf numFmtId="0" fontId="5" fillId="3" borderId="2" xfId="3" applyFont="1" applyFill="1" applyBorder="1" applyAlignment="1">
      <alignment wrapText="1"/>
    </xf>
    <xf numFmtId="0" fontId="5" fillId="3" borderId="4" xfId="3" applyFont="1" applyFill="1" applyBorder="1"/>
    <xf numFmtId="0" fontId="1" fillId="0" borderId="0" xfId="3"/>
    <xf numFmtId="0" fontId="1" fillId="0" borderId="2" xfId="3" applyBorder="1"/>
    <xf numFmtId="0" fontId="2" fillId="0" borderId="2" xfId="3" applyFont="1" applyBorder="1"/>
    <xf numFmtId="0" fontId="2" fillId="0" borderId="2" xfId="4" applyFont="1" applyBorder="1"/>
    <xf numFmtId="0" fontId="6" fillId="0" borderId="2" xfId="3" applyFont="1" applyBorder="1"/>
    <xf numFmtId="0" fontId="5" fillId="0" borderId="2" xfId="3" applyFont="1" applyBorder="1"/>
    <xf numFmtId="0" fontId="1" fillId="5" borderId="2" xfId="3" applyFill="1" applyBorder="1"/>
    <xf numFmtId="0" fontId="7" fillId="0" borderId="2" xfId="3" applyFont="1" applyBorder="1"/>
    <xf numFmtId="0" fontId="5" fillId="0" borderId="3" xfId="3" applyFont="1" applyBorder="1"/>
    <xf numFmtId="0" fontId="5" fillId="0" borderId="5" xfId="3" applyFont="1" applyBorder="1"/>
    <xf numFmtId="0" fontId="1" fillId="0" borderId="4" xfId="3" applyBorder="1"/>
    <xf numFmtId="0" fontId="1" fillId="0" borderId="2" xfId="3" applyBorder="1" applyAlignment="1">
      <alignment wrapText="1"/>
    </xf>
    <xf numFmtId="0" fontId="0" fillId="0" borderId="0" xfId="3" applyFont="1" applyAlignment="1">
      <alignment horizontal="center"/>
    </xf>
    <xf numFmtId="0" fontId="0" fillId="0" borderId="2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0" fillId="0" borderId="2" xfId="3" applyFont="1" applyBorder="1" applyAlignment="1">
      <alignment horizontal="center" vertical="center"/>
    </xf>
    <xf numFmtId="0" fontId="0" fillId="6" borderId="2" xfId="3" applyFont="1" applyFill="1" applyBorder="1" applyAlignment="1">
      <alignment horizontal="center" vertical="center"/>
    </xf>
    <xf numFmtId="0" fontId="0" fillId="7" borderId="2" xfId="3" applyFont="1" applyFill="1" applyBorder="1" applyAlignment="1">
      <alignment horizontal="center" vertical="center"/>
    </xf>
    <xf numFmtId="2" fontId="0" fillId="0" borderId="2" xfId="3" applyNumberFormat="1" applyFont="1" applyBorder="1" applyAlignment="1">
      <alignment horizontal="center" vertical="center"/>
    </xf>
    <xf numFmtId="0" fontId="5" fillId="8" borderId="2" xfId="3" applyFont="1" applyFill="1" applyBorder="1" applyAlignment="1">
      <alignment horizontal="center" vertical="center"/>
    </xf>
    <xf numFmtId="0" fontId="0" fillId="0" borderId="0" xfId="3" applyFont="1" applyAlignment="1">
      <alignment horizontal="center" vertical="center"/>
    </xf>
    <xf numFmtId="0" fontId="0" fillId="0" borderId="0" xfId="3" applyFont="1"/>
    <xf numFmtId="0" fontId="8" fillId="0" borderId="0" xfId="3" applyFont="1" applyAlignment="1">
      <alignment horizontal="left" vertical="center" wrapText="1"/>
    </xf>
  </cellXfs>
  <cellStyles count="5">
    <cellStyle name="Normal" xfId="0" builtinId="0"/>
    <cellStyle name="Normal 2" xfId="3" xr:uid="{535BAD4C-DC88-41CE-B377-BED187FE3A92}"/>
    <cellStyle name="Normal 3" xfId="1" xr:uid="{E126EAC2-6B43-45F5-B509-03C4703845CD}"/>
    <cellStyle name="Normal 4" xfId="2" xr:uid="{F3016787-F716-4286-B638-4D7C76C445A1}"/>
    <cellStyle name="Normal 6" xfId="4" xr:uid="{1335B582-C7C3-4BAA-90FE-27FD9D7586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'[1]burdochart-3'!$B$12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'[1]burdochart-3'!$C$12:$J$12</c:f>
              <c:numCache>
                <c:formatCode>General</c:formatCode>
                <c:ptCount val="8"/>
                <c:pt idx="0">
                  <c:v>11.5</c:v>
                </c:pt>
                <c:pt idx="1">
                  <c:v>3.5</c:v>
                </c:pt>
                <c:pt idx="2">
                  <c:v>2.5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3-4B25-949A-ED1EA31642B7}"/>
            </c:ext>
          </c:extLst>
        </c:ser>
        <c:ser>
          <c:idx val="1"/>
          <c:order val="1"/>
          <c:tx>
            <c:strRef>
              <c:f>'[1]burdochart-3'!$B$13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'[1]burdochart-3'!$C$13:$J$13</c:f>
              <c:numCache>
                <c:formatCode>General</c:formatCode>
                <c:ptCount val="8"/>
                <c:pt idx="0">
                  <c:v>11.5</c:v>
                </c:pt>
                <c:pt idx="1">
                  <c:v>9.8571428571428577</c:v>
                </c:pt>
                <c:pt idx="2">
                  <c:v>8.2142857142857153</c:v>
                </c:pt>
                <c:pt idx="3">
                  <c:v>6.571428571428573</c:v>
                </c:pt>
                <c:pt idx="4">
                  <c:v>4.9285714285714306</c:v>
                </c:pt>
                <c:pt idx="5">
                  <c:v>3.2857142857142878</c:v>
                </c:pt>
                <c:pt idx="6">
                  <c:v>1.642857142857145</c:v>
                </c:pt>
                <c:pt idx="7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3-4B25-949A-ED1EA3164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'[1]burdochart-3'!$B$49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'[1]burdochart-3'!$C$49:$J$49</c:f>
              <c:numCache>
                <c:formatCode>General</c:formatCode>
                <c:ptCount val="8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0-4CD3-A0B2-8318FE878A28}"/>
            </c:ext>
          </c:extLst>
        </c:ser>
        <c:ser>
          <c:idx val="1"/>
          <c:order val="1"/>
          <c:tx>
            <c:strRef>
              <c:f>'[1]burdochart-3'!$B$50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'[1]burdochart-3'!$C$50:$J$50</c:f>
              <c:numCache>
                <c:formatCode>General</c:formatCode>
                <c:ptCount val="8"/>
                <c:pt idx="0">
                  <c:v>6</c:v>
                </c:pt>
                <c:pt idx="1">
                  <c:v>5.1428571428571432</c:v>
                </c:pt>
                <c:pt idx="2">
                  <c:v>4.2857142857142865</c:v>
                </c:pt>
                <c:pt idx="3">
                  <c:v>3.4285714285714293</c:v>
                </c:pt>
                <c:pt idx="4">
                  <c:v>2.5714285714285721</c:v>
                </c:pt>
                <c:pt idx="5">
                  <c:v>1.7142857142857149</c:v>
                </c:pt>
                <c:pt idx="6">
                  <c:v>0.85714285714285776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0-4CD3-A0B2-8318FE878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'[1]burdochart-3'!$B$110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'[1]burdochart-3'!$C$110:$J$110</c:f>
              <c:numCache>
                <c:formatCode>General</c:formatCode>
                <c:ptCount val="8"/>
                <c:pt idx="0">
                  <c:v>3.5</c:v>
                </c:pt>
                <c:pt idx="1">
                  <c:v>0</c:v>
                </c:pt>
                <c:pt idx="2">
                  <c:v>0.75</c:v>
                </c:pt>
                <c:pt idx="3">
                  <c:v>0.5</c:v>
                </c:pt>
                <c:pt idx="4">
                  <c:v>0.75</c:v>
                </c:pt>
                <c:pt idx="5">
                  <c:v>1.1000000000000001</c:v>
                </c:pt>
                <c:pt idx="6">
                  <c:v>0.25</c:v>
                </c:pt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5-46A4-92F3-08BC0D59426D}"/>
            </c:ext>
          </c:extLst>
        </c:ser>
        <c:ser>
          <c:idx val="1"/>
          <c:order val="1"/>
          <c:tx>
            <c:strRef>
              <c:f>'[1]burdochart-3'!$B$111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'[1]burdochart-3'!$C$111:$J$111</c:f>
              <c:numCache>
                <c:formatCode>General</c:formatCode>
                <c:ptCount val="8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5-46A4-92F3-08BC0D594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'[1]burdochart-3'!$B$145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'[1]burdochart-3'!$C$145:$J$145</c:f>
              <c:numCache>
                <c:formatCode>General</c:formatCode>
                <c:ptCount val="8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0.55000000000000004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4-46D1-B79D-02632DCB9FF4}"/>
            </c:ext>
          </c:extLst>
        </c:ser>
        <c:ser>
          <c:idx val="1"/>
          <c:order val="1"/>
          <c:tx>
            <c:strRef>
              <c:f>'[1]burdochart-3'!$B$146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'[1]burdochart-3'!$C$146:$J$146</c:f>
              <c:numCache>
                <c:formatCode>General</c:formatCode>
                <c:ptCount val="8"/>
                <c:pt idx="0">
                  <c:v>2.5</c:v>
                </c:pt>
                <c:pt idx="1">
                  <c:v>2.1428571428571428</c:v>
                </c:pt>
                <c:pt idx="2">
                  <c:v>1.7857142857142856</c:v>
                </c:pt>
                <c:pt idx="3">
                  <c:v>1.4285714285714284</c:v>
                </c:pt>
                <c:pt idx="4">
                  <c:v>1.0714285714285712</c:v>
                </c:pt>
                <c:pt idx="5">
                  <c:v>0.71428571428571397</c:v>
                </c:pt>
                <c:pt idx="6">
                  <c:v>0.35714285714285682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4-46D1-B79D-02632DCB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472185</xdr:colOff>
      <xdr:row>13</xdr:row>
      <xdr:rowOff>169811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BF223934-2523-4ECA-AB3F-6F20529C8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3</xdr:col>
      <xdr:colOff>404004</xdr:colOff>
      <xdr:row>14</xdr:row>
      <xdr:rowOff>11467</xdr:rowOff>
    </xdr:from>
    <xdr:to>
      <xdr:col>9</xdr:col>
      <xdr:colOff>92400</xdr:colOff>
      <xdr:row>15</xdr:row>
      <xdr:rowOff>54557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828FF86-0E62-4EB0-B9AD-879B9195D493}"/>
            </a:ext>
            <a:ext uri="{147F2762-F138-4A5C-976F-8EAC2B608ADB}">
              <a16:predDERef xmlns:a16="http://schemas.microsoft.com/office/drawing/2014/main" pred="{6425D9F0-9825-4FCC-A700-AA50F6E690D1}"/>
            </a:ext>
          </a:extLst>
        </xdr:cNvPr>
        <xdr:cNvSpPr txBox="1"/>
      </xdr:nvSpPr>
      <xdr:spPr>
        <a:xfrm>
          <a:off x="3413904" y="2268892"/>
          <a:ext cx="4288971" cy="205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REQ010 - CATALOGO DE PRODUCTOS</a:t>
          </a:r>
        </a:p>
      </xdr:txBody>
    </xdr:sp>
    <xdr:clientData/>
  </xdr:twoCellAnchor>
  <xdr:oneCellAnchor>
    <xdr:from>
      <xdr:col>1</xdr:col>
      <xdr:colOff>0</xdr:colOff>
      <xdr:row>51</xdr:row>
      <xdr:rowOff>40869</xdr:rowOff>
    </xdr:from>
    <xdr:ext cx="9065773" cy="3517077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79D1F1C6-9654-4400-B393-897597529641}"/>
            </a:ext>
            <a:ext uri="{147F2762-F138-4A5C-976F-8EAC2B608ADB}">
              <a16:predDERef xmlns:a16="http://schemas.microsoft.com/office/drawing/2014/main" pred="{714F868A-E4CB-4B4B-B052-2621C0E62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3</xdr:col>
      <xdr:colOff>97585</xdr:colOff>
      <xdr:row>51</xdr:row>
      <xdr:rowOff>28575</xdr:rowOff>
    </xdr:from>
    <xdr:to>
      <xdr:col>8</xdr:col>
      <xdr:colOff>839258</xdr:colOff>
      <xdr:row>52</xdr:row>
      <xdr:rowOff>134303</xdr:rowOff>
    </xdr:to>
    <xdr:sp macro="" textlink="">
      <xdr:nvSpPr>
        <xdr:cNvPr id="5" name="CuadroTexto 5">
          <a:extLst>
            <a:ext uri="{FF2B5EF4-FFF2-40B4-BE49-F238E27FC236}">
              <a16:creationId xmlns:a16="http://schemas.microsoft.com/office/drawing/2014/main" id="{DA193BE0-C755-469E-8B3D-BAD8609D25B9}"/>
            </a:ext>
            <a:ext uri="{147F2762-F138-4A5C-976F-8EAC2B608ADB}">
              <a16:predDERef xmlns:a16="http://schemas.microsoft.com/office/drawing/2014/main" pred="{A4470607-210F-4177-A1B3-5916418E19F2}"/>
            </a:ext>
          </a:extLst>
        </xdr:cNvPr>
        <xdr:cNvSpPr txBox="1"/>
      </xdr:nvSpPr>
      <xdr:spPr>
        <a:xfrm>
          <a:off x="3107485" y="8277225"/>
          <a:ext cx="43230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REQ011 -REGISTRO DE VENTAS</a:t>
          </a:r>
        </a:p>
      </xdr:txBody>
    </xdr:sp>
    <xdr:clientData/>
  </xdr:twoCellAnchor>
  <xdr:oneCellAnchor>
    <xdr:from>
      <xdr:col>1</xdr:col>
      <xdr:colOff>0</xdr:colOff>
      <xdr:row>112</xdr:row>
      <xdr:rowOff>40869</xdr:rowOff>
    </xdr:from>
    <xdr:ext cx="9065773" cy="3517077"/>
    <xdr:graphicFrame macro="">
      <xdr:nvGraphicFramePr>
        <xdr:cNvPr id="6" name="Chart 1" title="Gráfico">
          <a:extLst>
            <a:ext uri="{FF2B5EF4-FFF2-40B4-BE49-F238E27FC236}">
              <a16:creationId xmlns:a16="http://schemas.microsoft.com/office/drawing/2014/main" id="{FEAF5E67-0285-4B52-BD6B-940F43739BD8}"/>
            </a:ext>
            <a:ext uri="{147F2762-F138-4A5C-976F-8EAC2B608ADB}">
              <a16:predDERef xmlns:a16="http://schemas.microsoft.com/office/drawing/2014/main" pred="{78DD5009-B682-485C-A11B-3F3D0355C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2</xdr:col>
      <xdr:colOff>326185</xdr:colOff>
      <xdr:row>112</xdr:row>
      <xdr:rowOff>38100</xdr:rowOff>
    </xdr:from>
    <xdr:to>
      <xdr:col>8</xdr:col>
      <xdr:colOff>448733</xdr:colOff>
      <xdr:row>113</xdr:row>
      <xdr:rowOff>143828</xdr:rowOff>
    </xdr:to>
    <xdr:sp macro="" textlink="">
      <xdr:nvSpPr>
        <xdr:cNvPr id="7" name="CuadroTexto 5">
          <a:extLst>
            <a:ext uri="{FF2B5EF4-FFF2-40B4-BE49-F238E27FC236}">
              <a16:creationId xmlns:a16="http://schemas.microsoft.com/office/drawing/2014/main" id="{6DF90F45-9F2A-4761-B250-01CBFCBD1C57}"/>
            </a:ext>
            <a:ext uri="{147F2762-F138-4A5C-976F-8EAC2B608ADB}">
              <a16:predDERef xmlns:a16="http://schemas.microsoft.com/office/drawing/2014/main" pred="{95800C0B-63BB-4CCE-8E91-0B6CEE56E99A}"/>
            </a:ext>
          </a:extLst>
        </xdr:cNvPr>
        <xdr:cNvSpPr txBox="1"/>
      </xdr:nvSpPr>
      <xdr:spPr>
        <a:xfrm>
          <a:off x="2745535" y="18164175"/>
          <a:ext cx="4294498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REQ012 -EMISION DE NOTA DE VENTA</a:t>
          </a:r>
        </a:p>
      </xdr:txBody>
    </xdr:sp>
    <xdr:clientData/>
  </xdr:twoCellAnchor>
  <xdr:oneCellAnchor>
    <xdr:from>
      <xdr:col>1</xdr:col>
      <xdr:colOff>0</xdr:colOff>
      <xdr:row>147</xdr:row>
      <xdr:rowOff>40869</xdr:rowOff>
    </xdr:from>
    <xdr:ext cx="9065773" cy="3517077"/>
    <xdr:graphicFrame macro="">
      <xdr:nvGraphicFramePr>
        <xdr:cNvPr id="8" name="Chart 1" title="Gráfico">
          <a:extLst>
            <a:ext uri="{FF2B5EF4-FFF2-40B4-BE49-F238E27FC236}">
              <a16:creationId xmlns:a16="http://schemas.microsoft.com/office/drawing/2014/main" id="{73B65348-AD89-4A51-A669-D654EC0E37BC}"/>
            </a:ext>
            <a:ext uri="{147F2762-F138-4A5C-976F-8EAC2B608ADB}">
              <a16:predDERef xmlns:a16="http://schemas.microsoft.com/office/drawing/2014/main" pred="{EA1708B9-D1FD-4074-B506-112999C63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3</xdr:col>
      <xdr:colOff>116635</xdr:colOff>
      <xdr:row>147</xdr:row>
      <xdr:rowOff>9525</xdr:rowOff>
    </xdr:from>
    <xdr:to>
      <xdr:col>8</xdr:col>
      <xdr:colOff>858308</xdr:colOff>
      <xdr:row>148</xdr:row>
      <xdr:rowOff>115253</xdr:rowOff>
    </xdr:to>
    <xdr:sp macro="" textlink="">
      <xdr:nvSpPr>
        <xdr:cNvPr id="9" name="CuadroTexto 5">
          <a:extLst>
            <a:ext uri="{FF2B5EF4-FFF2-40B4-BE49-F238E27FC236}">
              <a16:creationId xmlns:a16="http://schemas.microsoft.com/office/drawing/2014/main" id="{21B714BC-79CC-48B7-96F9-1EB9CCC30FFE}"/>
            </a:ext>
            <a:ext uri="{147F2762-F138-4A5C-976F-8EAC2B608ADB}">
              <a16:predDERef xmlns:a16="http://schemas.microsoft.com/office/drawing/2014/main" pred="{7E9EBD4D-9B02-4C11-B365-30BC9A79618A}"/>
            </a:ext>
          </a:extLst>
        </xdr:cNvPr>
        <xdr:cNvSpPr txBox="1"/>
      </xdr:nvSpPr>
      <xdr:spPr>
        <a:xfrm>
          <a:off x="3126535" y="23802975"/>
          <a:ext cx="43230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REQ013 -EXPORTACION DE REPORTES EN EXCEL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PER%20USUARIO\Downloads\BACKLOG_GR1.xlsx" TargetMode="External"/><Relationship Id="rId1" Type="http://schemas.openxmlformats.org/officeDocument/2006/relationships/externalLinkPath" Target="BACKLOG_G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"/>
      <sheetName val="Sprints"/>
      <sheetName val="burdonchart - 1"/>
      <sheetName val="burdonchart - 2"/>
      <sheetName val="burdochart-3"/>
      <sheetName val="burdochart final"/>
    </sheetNames>
    <sheetDataSet>
      <sheetData sheetId="0"/>
      <sheetData sheetId="1"/>
      <sheetData sheetId="2"/>
      <sheetData sheetId="3"/>
      <sheetData sheetId="4">
        <row r="12">
          <cell r="B12" t="str">
            <v>Horas Estimadas</v>
          </cell>
          <cell r="C12">
            <v>11.5</v>
          </cell>
          <cell r="D12">
            <v>3.5</v>
          </cell>
          <cell r="E12">
            <v>2.5</v>
          </cell>
          <cell r="F12">
            <v>1</v>
          </cell>
          <cell r="G12">
            <v>3</v>
          </cell>
          <cell r="H12">
            <v>1</v>
          </cell>
          <cell r="I12">
            <v>2</v>
          </cell>
          <cell r="J12">
            <v>1</v>
          </cell>
        </row>
        <row r="13">
          <cell r="B13" t="str">
            <v>Horas Estimadas
Restantes</v>
          </cell>
          <cell r="C13">
            <v>11.5</v>
          </cell>
          <cell r="D13">
            <v>9.8571428571428577</v>
          </cell>
          <cell r="E13">
            <v>8.2142857142857153</v>
          </cell>
          <cell r="F13">
            <v>6.571428571428573</v>
          </cell>
          <cell r="G13">
            <v>4.9285714285714306</v>
          </cell>
          <cell r="H13">
            <v>3.2857142857142878</v>
          </cell>
          <cell r="I13">
            <v>1.642857142857145</v>
          </cell>
          <cell r="J13">
            <v>2.2204460492503131E-15</v>
          </cell>
        </row>
        <row r="49">
          <cell r="B49" t="str">
            <v>Horas Estimadas</v>
          </cell>
          <cell r="C49">
            <v>6</v>
          </cell>
          <cell r="D49">
            <v>0</v>
          </cell>
          <cell r="E49">
            <v>0</v>
          </cell>
          <cell r="F49">
            <v>0.5</v>
          </cell>
          <cell r="G49">
            <v>0</v>
          </cell>
          <cell r="H49">
            <v>1</v>
          </cell>
          <cell r="I49">
            <v>3</v>
          </cell>
          <cell r="J49">
            <v>2</v>
          </cell>
        </row>
        <row r="50">
          <cell r="B50" t="str">
            <v>Horas Estimadas
Restantes</v>
          </cell>
          <cell r="C50">
            <v>6</v>
          </cell>
          <cell r="D50">
            <v>5.1428571428571432</v>
          </cell>
          <cell r="E50">
            <v>4.2857142857142865</v>
          </cell>
          <cell r="F50">
            <v>3.4285714285714293</v>
          </cell>
          <cell r="G50">
            <v>2.5714285714285721</v>
          </cell>
          <cell r="H50">
            <v>1.7142857142857149</v>
          </cell>
          <cell r="I50">
            <v>0.85714285714285776</v>
          </cell>
          <cell r="J50">
            <v>0</v>
          </cell>
        </row>
        <row r="110">
          <cell r="B110" t="str">
            <v>Horas Estimadas</v>
          </cell>
          <cell r="C110">
            <v>3.5</v>
          </cell>
          <cell r="D110">
            <v>0</v>
          </cell>
          <cell r="E110">
            <v>0.75</v>
          </cell>
          <cell r="F110">
            <v>0.5</v>
          </cell>
          <cell r="G110">
            <v>0.75</v>
          </cell>
          <cell r="H110">
            <v>1.1000000000000001</v>
          </cell>
          <cell r="I110">
            <v>0.25</v>
          </cell>
          <cell r="J110">
            <v>0.5</v>
          </cell>
        </row>
        <row r="111">
          <cell r="B111" t="str">
            <v>Horas Estimadas
Restantes</v>
          </cell>
          <cell r="C111">
            <v>3.5</v>
          </cell>
          <cell r="D111">
            <v>3</v>
          </cell>
          <cell r="E111">
            <v>2.5</v>
          </cell>
          <cell r="F111">
            <v>2</v>
          </cell>
          <cell r="G111">
            <v>1.5</v>
          </cell>
          <cell r="H111">
            <v>1</v>
          </cell>
          <cell r="I111">
            <v>0.5</v>
          </cell>
          <cell r="J111">
            <v>0</v>
          </cell>
        </row>
        <row r="145">
          <cell r="B145" t="str">
            <v>Horas Estimadas</v>
          </cell>
          <cell r="C145">
            <v>2.5</v>
          </cell>
          <cell r="D145">
            <v>0</v>
          </cell>
          <cell r="E145">
            <v>0</v>
          </cell>
          <cell r="F145">
            <v>0.5</v>
          </cell>
          <cell r="G145">
            <v>0.55000000000000004</v>
          </cell>
          <cell r="H145">
            <v>0.5</v>
          </cell>
          <cell r="I145">
            <v>0.5</v>
          </cell>
          <cell r="J145">
            <v>0.5</v>
          </cell>
        </row>
        <row r="146">
          <cell r="B146" t="str">
            <v>Horas Estimadas
Restantes</v>
          </cell>
          <cell r="C146">
            <v>2.5</v>
          </cell>
          <cell r="D146">
            <v>2.1428571428571428</v>
          </cell>
          <cell r="E146">
            <v>1.7857142857142856</v>
          </cell>
          <cell r="F146">
            <v>1.4285714285714284</v>
          </cell>
          <cell r="G146">
            <v>1.0714285714285712</v>
          </cell>
          <cell r="H146">
            <v>0.71428571428571397</v>
          </cell>
          <cell r="I146">
            <v>0.35714285714285682</v>
          </cell>
          <cell r="J146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0616-6E24-4EA3-8861-8DE1BCE4EACD}">
  <dimension ref="A1:H5"/>
  <sheetViews>
    <sheetView workbookViewId="0">
      <selection activeCell="E12" sqref="E12"/>
    </sheetView>
  </sheetViews>
  <sheetFormatPr baseColWidth="10" defaultRowHeight="15" x14ac:dyDescent="0.25"/>
  <cols>
    <col min="2" max="2" width="34.140625" customWidth="1"/>
    <col min="3" max="3" width="39.7109375" customWidth="1"/>
    <col min="4" max="4" width="52.140625" customWidth="1"/>
    <col min="5" max="5" width="46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" customHeight="1" x14ac:dyDescent="0.25">
      <c r="A2" s="2" t="s">
        <v>8</v>
      </c>
      <c r="B2" s="3" t="s">
        <v>9</v>
      </c>
      <c r="C2" s="2" t="s">
        <v>10</v>
      </c>
      <c r="D2" s="3" t="s">
        <v>11</v>
      </c>
      <c r="E2" s="3" t="s">
        <v>12</v>
      </c>
      <c r="F2" s="4"/>
      <c r="G2" s="3" t="s">
        <v>13</v>
      </c>
      <c r="H2" s="2" t="s">
        <v>14</v>
      </c>
    </row>
    <row r="3" spans="1:8" ht="26.25" customHeight="1" x14ac:dyDescent="0.25">
      <c r="A3" s="2" t="s">
        <v>15</v>
      </c>
      <c r="B3" s="5" t="s">
        <v>16</v>
      </c>
      <c r="C3" s="2" t="s">
        <v>10</v>
      </c>
      <c r="D3" s="2" t="s">
        <v>17</v>
      </c>
      <c r="E3" s="2" t="s">
        <v>18</v>
      </c>
      <c r="F3" s="6" t="s">
        <v>19</v>
      </c>
      <c r="G3" s="2" t="s">
        <v>13</v>
      </c>
      <c r="H3" s="2" t="s">
        <v>14</v>
      </c>
    </row>
    <row r="4" spans="1:8" ht="22.5" customHeight="1" x14ac:dyDescent="0.25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6" t="s">
        <v>19</v>
      </c>
      <c r="G4" s="2" t="s">
        <v>13</v>
      </c>
      <c r="H4" s="2" t="s">
        <v>14</v>
      </c>
    </row>
    <row r="5" spans="1:8" ht="27" customHeight="1" x14ac:dyDescent="0.25">
      <c r="A5" s="2" t="s">
        <v>24</v>
      </c>
      <c r="B5" s="2" t="s">
        <v>25</v>
      </c>
      <c r="C5" s="2" t="s">
        <v>10</v>
      </c>
      <c r="D5" s="2" t="s">
        <v>26</v>
      </c>
      <c r="E5" s="2" t="s">
        <v>27</v>
      </c>
      <c r="F5" s="6" t="s">
        <v>19</v>
      </c>
      <c r="G5" s="2" t="s">
        <v>13</v>
      </c>
      <c r="H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231C-49CF-4602-87AB-9465B0FBEC54}">
  <dimension ref="A1:J28"/>
  <sheetViews>
    <sheetView tabSelected="1" topLeftCell="A13" workbookViewId="0">
      <selection activeCell="B19" sqref="B19"/>
    </sheetView>
  </sheetViews>
  <sheetFormatPr baseColWidth="10" defaultRowHeight="15" x14ac:dyDescent="0.25"/>
  <cols>
    <col min="3" max="3" width="65" customWidth="1"/>
    <col min="4" max="4" width="24.7109375" customWidth="1"/>
    <col min="5" max="5" width="40.140625" customWidth="1"/>
    <col min="6" max="6" width="36.85546875" customWidth="1"/>
  </cols>
  <sheetData>
    <row r="1" spans="1:10" x14ac:dyDescent="0.25">
      <c r="A1" s="7" t="s">
        <v>28</v>
      </c>
      <c r="B1" s="8" t="s">
        <v>29</v>
      </c>
      <c r="C1" s="8"/>
      <c r="D1" s="8"/>
      <c r="E1" s="8"/>
      <c r="F1" s="8"/>
      <c r="G1" s="8"/>
      <c r="H1" s="8"/>
      <c r="I1" s="8"/>
    </row>
    <row r="2" spans="1:10" x14ac:dyDescent="0.25">
      <c r="B2" s="9" t="s">
        <v>0</v>
      </c>
      <c r="C2" s="9" t="s">
        <v>1</v>
      </c>
      <c r="D2" s="9" t="s">
        <v>2</v>
      </c>
      <c r="E2" s="9" t="s">
        <v>30</v>
      </c>
      <c r="F2" s="9" t="s">
        <v>31</v>
      </c>
      <c r="G2" s="9" t="s">
        <v>5</v>
      </c>
      <c r="H2" s="9" t="s">
        <v>32</v>
      </c>
      <c r="I2" s="9" t="s">
        <v>33</v>
      </c>
    </row>
    <row r="3" spans="1:10" ht="48" customHeight="1" x14ac:dyDescent="0.25">
      <c r="B3" s="10" t="s">
        <v>8</v>
      </c>
      <c r="C3" s="11" t="s">
        <v>9</v>
      </c>
      <c r="D3" s="10" t="s">
        <v>34</v>
      </c>
      <c r="E3" s="12" t="s">
        <v>11</v>
      </c>
      <c r="F3" s="13" t="s">
        <v>12</v>
      </c>
      <c r="G3" s="10" t="s">
        <v>35</v>
      </c>
      <c r="H3" s="10" t="s">
        <v>13</v>
      </c>
      <c r="I3" s="14" t="s">
        <v>36</v>
      </c>
      <c r="J3" s="15"/>
    </row>
    <row r="4" spans="1:10" x14ac:dyDescent="0.25">
      <c r="B4" s="16"/>
      <c r="C4" s="17" t="s">
        <v>37</v>
      </c>
      <c r="D4" s="16"/>
      <c r="E4" s="16"/>
      <c r="F4" s="16"/>
      <c r="G4" s="18" t="s">
        <v>38</v>
      </c>
      <c r="H4" s="16"/>
      <c r="I4" s="16"/>
      <c r="J4" s="15">
        <f>SUM(I5:I9)</f>
        <v>7</v>
      </c>
    </row>
    <row r="5" spans="1:10" x14ac:dyDescent="0.25">
      <c r="B5" s="19" t="s">
        <v>39</v>
      </c>
      <c r="C5" s="16" t="s">
        <v>40</v>
      </c>
      <c r="D5" s="16"/>
      <c r="E5" s="16"/>
      <c r="F5" s="16"/>
      <c r="G5" s="20" t="s">
        <v>41</v>
      </c>
      <c r="H5" s="16"/>
      <c r="I5" s="21">
        <v>2</v>
      </c>
      <c r="J5" s="15"/>
    </row>
    <row r="6" spans="1:10" x14ac:dyDescent="0.25">
      <c r="B6" s="19" t="s">
        <v>42</v>
      </c>
      <c r="C6" s="16" t="s">
        <v>43</v>
      </c>
      <c r="D6" s="16"/>
      <c r="E6" s="16"/>
      <c r="F6" s="16"/>
      <c r="G6" s="20" t="s">
        <v>41</v>
      </c>
      <c r="H6" s="16"/>
      <c r="I6" s="21">
        <v>1</v>
      </c>
      <c r="J6" s="15"/>
    </row>
    <row r="7" spans="1:10" x14ac:dyDescent="0.25">
      <c r="B7" s="19" t="s">
        <v>44</v>
      </c>
      <c r="C7" t="s">
        <v>45</v>
      </c>
      <c r="D7" s="16"/>
      <c r="E7" s="16"/>
      <c r="F7" s="16"/>
      <c r="G7" s="20" t="s">
        <v>41</v>
      </c>
      <c r="H7" s="16"/>
      <c r="I7" s="21">
        <v>1</v>
      </c>
      <c r="J7" s="15"/>
    </row>
    <row r="8" spans="1:10" x14ac:dyDescent="0.25">
      <c r="B8" s="19" t="s">
        <v>46</v>
      </c>
      <c r="C8" s="16" t="s">
        <v>47</v>
      </c>
      <c r="D8" s="16"/>
      <c r="E8" s="16"/>
      <c r="F8" s="16"/>
      <c r="G8" s="20" t="s">
        <v>41</v>
      </c>
      <c r="H8" s="16"/>
      <c r="I8" s="21">
        <v>2</v>
      </c>
      <c r="J8" s="15"/>
    </row>
    <row r="9" spans="1:10" x14ac:dyDescent="0.25">
      <c r="B9" s="19" t="s">
        <v>48</v>
      </c>
      <c r="C9" s="16" t="s">
        <v>49</v>
      </c>
      <c r="D9" s="16"/>
      <c r="E9" s="16"/>
      <c r="F9" s="16"/>
      <c r="G9" s="20" t="s">
        <v>41</v>
      </c>
      <c r="H9" s="16"/>
      <c r="I9" s="21">
        <v>1</v>
      </c>
      <c r="J9" s="15"/>
    </row>
    <row r="10" spans="1:10" ht="64.5" x14ac:dyDescent="0.25">
      <c r="B10" s="10" t="s">
        <v>15</v>
      </c>
      <c r="C10" s="10" t="s">
        <v>50</v>
      </c>
      <c r="D10" s="10" t="s">
        <v>34</v>
      </c>
      <c r="E10" s="12" t="s">
        <v>17</v>
      </c>
      <c r="F10" s="13" t="s">
        <v>18</v>
      </c>
      <c r="G10" s="10" t="s">
        <v>35</v>
      </c>
      <c r="H10" s="10" t="s">
        <v>13</v>
      </c>
      <c r="I10" s="10" t="s">
        <v>36</v>
      </c>
      <c r="J10" s="15"/>
    </row>
    <row r="11" spans="1:10" x14ac:dyDescent="0.25">
      <c r="B11" s="16"/>
      <c r="C11" s="17" t="s">
        <v>37</v>
      </c>
      <c r="D11" s="16"/>
      <c r="E11" s="16"/>
      <c r="F11" s="16"/>
      <c r="G11" s="17" t="s">
        <v>38</v>
      </c>
      <c r="H11" s="16"/>
      <c r="I11" s="16"/>
      <c r="J11" s="15"/>
    </row>
    <row r="12" spans="1:10" x14ac:dyDescent="0.25">
      <c r="B12" s="22" t="s">
        <v>51</v>
      </c>
      <c r="C12" s="16" t="s">
        <v>52</v>
      </c>
      <c r="D12" s="16"/>
      <c r="E12" s="16"/>
      <c r="F12" s="16"/>
      <c r="G12" s="23" t="s">
        <v>53</v>
      </c>
      <c r="H12" s="16"/>
      <c r="I12" s="16">
        <v>2</v>
      </c>
      <c r="J12" s="15"/>
    </row>
    <row r="13" spans="1:10" x14ac:dyDescent="0.25">
      <c r="B13" s="22" t="s">
        <v>54</v>
      </c>
      <c r="C13" s="16" t="s">
        <v>55</v>
      </c>
      <c r="D13" s="16"/>
      <c r="E13" s="16"/>
      <c r="F13" s="16"/>
      <c r="G13" s="23" t="s">
        <v>53</v>
      </c>
      <c r="H13" s="16"/>
      <c r="I13" s="16">
        <v>1</v>
      </c>
      <c r="J13" s="15">
        <f>SUM(I12:I16)</f>
        <v>6</v>
      </c>
    </row>
    <row r="14" spans="1:10" x14ac:dyDescent="0.25">
      <c r="B14" s="22" t="s">
        <v>56</v>
      </c>
      <c r="C14" s="16" t="s">
        <v>57</v>
      </c>
      <c r="D14" s="16"/>
      <c r="E14" s="16"/>
      <c r="F14" s="16"/>
      <c r="G14" s="23" t="s">
        <v>53</v>
      </c>
      <c r="H14" s="16"/>
      <c r="I14" s="16">
        <v>1</v>
      </c>
      <c r="J14" s="15"/>
    </row>
    <row r="15" spans="1:10" x14ac:dyDescent="0.25">
      <c r="B15" s="22" t="s">
        <v>58</v>
      </c>
      <c r="C15" s="16" t="s">
        <v>59</v>
      </c>
      <c r="D15" s="16"/>
      <c r="E15" s="16"/>
      <c r="F15" s="16"/>
      <c r="G15" s="24" t="s">
        <v>53</v>
      </c>
      <c r="H15" s="16"/>
      <c r="I15" s="16">
        <v>1</v>
      </c>
      <c r="J15" s="15"/>
    </row>
    <row r="16" spans="1:10" x14ac:dyDescent="0.25">
      <c r="B16" s="22" t="s">
        <v>60</v>
      </c>
      <c r="C16" s="16" t="s">
        <v>61</v>
      </c>
      <c r="D16" s="16"/>
      <c r="E16" s="16"/>
      <c r="F16" s="16"/>
      <c r="G16" s="24" t="s">
        <v>53</v>
      </c>
      <c r="H16" s="16"/>
      <c r="I16" s="25">
        <v>1</v>
      </c>
      <c r="J16" s="15"/>
    </row>
    <row r="17" spans="2:10" ht="45" customHeight="1" x14ac:dyDescent="0.25">
      <c r="B17" s="10" t="s">
        <v>20</v>
      </c>
      <c r="C17" s="10" t="s">
        <v>62</v>
      </c>
      <c r="D17" s="10" t="s">
        <v>34</v>
      </c>
      <c r="E17" s="12" t="s">
        <v>22</v>
      </c>
      <c r="F17" s="13" t="s">
        <v>23</v>
      </c>
      <c r="G17" s="10" t="s">
        <v>35</v>
      </c>
      <c r="H17" s="10" t="s">
        <v>13</v>
      </c>
      <c r="I17" s="14" t="s">
        <v>14</v>
      </c>
      <c r="J17" s="15"/>
    </row>
    <row r="18" spans="2:10" x14ac:dyDescent="0.25">
      <c r="B18" s="16"/>
      <c r="C18" s="17" t="s">
        <v>37</v>
      </c>
      <c r="D18" s="16"/>
      <c r="E18" s="16"/>
      <c r="F18" s="16"/>
      <c r="G18" s="17" t="s">
        <v>38</v>
      </c>
      <c r="H18" s="16"/>
      <c r="I18" s="16"/>
      <c r="J18" s="15"/>
    </row>
    <row r="19" spans="2:10" x14ac:dyDescent="0.25">
      <c r="B19" s="22" t="s">
        <v>95</v>
      </c>
      <c r="C19" s="16" t="s">
        <v>64</v>
      </c>
      <c r="D19" s="16"/>
      <c r="E19" s="16"/>
      <c r="F19" s="16"/>
      <c r="G19" s="16" t="s">
        <v>65</v>
      </c>
      <c r="H19" s="16"/>
      <c r="I19" s="16">
        <v>1</v>
      </c>
      <c r="J19" s="15">
        <f>SUM(I19:I22)</f>
        <v>4.5</v>
      </c>
    </row>
    <row r="20" spans="2:10" x14ac:dyDescent="0.25">
      <c r="B20" s="22" t="s">
        <v>66</v>
      </c>
      <c r="C20" s="16" t="s">
        <v>67</v>
      </c>
      <c r="D20" s="16"/>
      <c r="E20" s="16"/>
      <c r="F20" s="16"/>
      <c r="G20" s="16" t="s">
        <v>65</v>
      </c>
      <c r="H20" s="16"/>
      <c r="I20" s="16">
        <v>1</v>
      </c>
      <c r="J20" s="15"/>
    </row>
    <row r="21" spans="2:10" x14ac:dyDescent="0.25">
      <c r="B21" s="22" t="s">
        <v>68</v>
      </c>
      <c r="C21" s="16" t="s">
        <v>69</v>
      </c>
      <c r="D21" s="16"/>
      <c r="E21" s="16"/>
      <c r="F21" s="16"/>
      <c r="G21" s="16" t="s">
        <v>65</v>
      </c>
      <c r="H21" s="16"/>
      <c r="I21" s="16">
        <v>1.5</v>
      </c>
      <c r="J21" s="15"/>
    </row>
    <row r="22" spans="2:10" x14ac:dyDescent="0.25">
      <c r="B22" s="22" t="s">
        <v>70</v>
      </c>
      <c r="C22" s="16" t="s">
        <v>71</v>
      </c>
      <c r="D22" s="16"/>
      <c r="E22" s="16"/>
      <c r="F22" s="16"/>
      <c r="G22" s="16" t="s">
        <v>65</v>
      </c>
      <c r="H22" s="16"/>
      <c r="I22" s="16">
        <v>1</v>
      </c>
      <c r="J22" s="15"/>
    </row>
    <row r="23" spans="2:10" ht="46.5" customHeight="1" x14ac:dyDescent="0.25">
      <c r="B23" s="10" t="s">
        <v>24</v>
      </c>
      <c r="C23" s="10" t="s">
        <v>25</v>
      </c>
      <c r="D23" s="10" t="s">
        <v>34</v>
      </c>
      <c r="E23" s="12" t="s">
        <v>26</v>
      </c>
      <c r="F23" s="13" t="s">
        <v>27</v>
      </c>
      <c r="G23" s="10" t="s">
        <v>35</v>
      </c>
      <c r="H23" s="10" t="s">
        <v>13</v>
      </c>
      <c r="I23" s="14" t="s">
        <v>14</v>
      </c>
      <c r="J23" s="15"/>
    </row>
    <row r="24" spans="2:10" x14ac:dyDescent="0.25">
      <c r="B24" s="16"/>
      <c r="C24" s="17" t="s">
        <v>37</v>
      </c>
      <c r="D24" s="16"/>
      <c r="E24" s="16"/>
      <c r="F24" s="16"/>
      <c r="G24" s="17" t="s">
        <v>38</v>
      </c>
      <c r="H24" s="16"/>
      <c r="I24" s="16"/>
      <c r="J24" s="15">
        <f>SUM(I25:I28)</f>
        <v>4.5</v>
      </c>
    </row>
    <row r="25" spans="2:10" x14ac:dyDescent="0.25">
      <c r="B25" s="22" t="s">
        <v>63</v>
      </c>
      <c r="C25" s="16" t="s">
        <v>72</v>
      </c>
      <c r="D25" s="16"/>
      <c r="E25" s="16"/>
      <c r="F25" s="16"/>
      <c r="G25" s="16" t="s">
        <v>65</v>
      </c>
      <c r="H25" s="16"/>
      <c r="I25" s="16">
        <v>1</v>
      </c>
      <c r="J25" s="15"/>
    </row>
    <row r="26" spans="2:10" x14ac:dyDescent="0.25">
      <c r="B26" s="22" t="s">
        <v>73</v>
      </c>
      <c r="C26" s="16" t="s">
        <v>74</v>
      </c>
      <c r="D26" s="16"/>
      <c r="E26" s="16"/>
      <c r="F26" s="16"/>
      <c r="G26" s="16" t="s">
        <v>65</v>
      </c>
      <c r="H26" s="16"/>
      <c r="I26" s="16">
        <v>1</v>
      </c>
      <c r="J26" s="15"/>
    </row>
    <row r="27" spans="2:10" x14ac:dyDescent="0.25">
      <c r="B27" s="22" t="s">
        <v>75</v>
      </c>
      <c r="C27" s="16" t="s">
        <v>76</v>
      </c>
      <c r="D27" s="16"/>
      <c r="E27" s="16"/>
      <c r="F27" s="16"/>
      <c r="G27" s="16" t="s">
        <v>65</v>
      </c>
      <c r="H27" s="16"/>
      <c r="I27" s="16">
        <v>0.5</v>
      </c>
      <c r="J27" s="15"/>
    </row>
    <row r="28" spans="2:10" ht="40.5" customHeight="1" x14ac:dyDescent="0.25">
      <c r="B28" s="22" t="s">
        <v>77</v>
      </c>
      <c r="C28" s="26" t="s">
        <v>78</v>
      </c>
      <c r="D28" s="16"/>
      <c r="E28" s="16"/>
      <c r="F28" s="16"/>
      <c r="G28" s="16" t="s">
        <v>65</v>
      </c>
      <c r="H28" s="16"/>
      <c r="I28" s="16">
        <v>2</v>
      </c>
      <c r="J28" s="15"/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5EBB-2AF8-4835-8592-F515C687D5B6}">
  <dimension ref="B2:L146"/>
  <sheetViews>
    <sheetView workbookViewId="0">
      <selection activeCell="A34" sqref="A34:XFD39"/>
    </sheetView>
  </sheetViews>
  <sheetFormatPr baseColWidth="10" defaultRowHeight="15" x14ac:dyDescent="0.25"/>
  <sheetData>
    <row r="2" spans="2:12" x14ac:dyDescent="0.25">
      <c r="G2" s="27" t="s">
        <v>79</v>
      </c>
      <c r="H2" s="27"/>
      <c r="I2" s="27"/>
      <c r="J2" s="27"/>
      <c r="K2" s="27"/>
    </row>
    <row r="3" spans="2:12" x14ac:dyDescent="0.25">
      <c r="L3" t="s">
        <v>80</v>
      </c>
    </row>
    <row r="4" spans="2:12" x14ac:dyDescent="0.25">
      <c r="L4">
        <f>SUM(K12,K49,K110,K145)</f>
        <v>26.900000000000002</v>
      </c>
    </row>
    <row r="5" spans="2:12" x14ac:dyDescent="0.25">
      <c r="B5" s="28" t="s">
        <v>81</v>
      </c>
      <c r="C5" s="28"/>
      <c r="D5" s="28"/>
      <c r="E5" s="28"/>
      <c r="F5" s="28"/>
      <c r="G5" s="28"/>
      <c r="H5" s="28"/>
      <c r="I5" s="28"/>
      <c r="J5" s="28"/>
      <c r="K5" s="28"/>
    </row>
    <row r="6" spans="2:12" x14ac:dyDescent="0.25">
      <c r="B6" s="29"/>
      <c r="C6" s="29" t="s">
        <v>82</v>
      </c>
      <c r="D6" s="29" t="s">
        <v>83</v>
      </c>
      <c r="E6" s="29" t="s">
        <v>84</v>
      </c>
      <c r="F6" s="29" t="s">
        <v>85</v>
      </c>
      <c r="G6" s="29" t="s">
        <v>86</v>
      </c>
      <c r="H6" s="29" t="s">
        <v>87</v>
      </c>
      <c r="I6" s="29" t="s">
        <v>88</v>
      </c>
      <c r="J6" s="29" t="s">
        <v>89</v>
      </c>
      <c r="K6" s="29" t="s">
        <v>90</v>
      </c>
    </row>
    <row r="7" spans="2:12" x14ac:dyDescent="0.25">
      <c r="B7" s="30" t="s">
        <v>39</v>
      </c>
      <c r="C7" s="31">
        <v>1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1</v>
      </c>
      <c r="K7" s="32">
        <f>SUM(D7:J7)</f>
        <v>1</v>
      </c>
    </row>
    <row r="8" spans="2:12" x14ac:dyDescent="0.25">
      <c r="B8" s="30" t="s">
        <v>42</v>
      </c>
      <c r="C8" s="31">
        <v>3</v>
      </c>
      <c r="D8" s="30">
        <v>0</v>
      </c>
      <c r="E8" s="30">
        <v>0.5</v>
      </c>
      <c r="F8" s="30">
        <v>0</v>
      </c>
      <c r="G8" s="30">
        <v>1</v>
      </c>
      <c r="H8" s="30">
        <v>1</v>
      </c>
      <c r="I8" s="30">
        <v>1</v>
      </c>
      <c r="J8" s="30">
        <v>0</v>
      </c>
      <c r="K8" s="32">
        <f>SUM(D8:J8)</f>
        <v>3.5</v>
      </c>
    </row>
    <row r="9" spans="2:12" x14ac:dyDescent="0.25">
      <c r="B9" s="30" t="s">
        <v>44</v>
      </c>
      <c r="C9" s="31">
        <v>4</v>
      </c>
      <c r="D9" s="30">
        <v>1</v>
      </c>
      <c r="E9" s="30">
        <v>2</v>
      </c>
      <c r="F9" s="30">
        <v>1</v>
      </c>
      <c r="G9" s="30">
        <v>1</v>
      </c>
      <c r="H9" s="30">
        <v>0</v>
      </c>
      <c r="I9" s="30">
        <v>0</v>
      </c>
      <c r="J9" s="30">
        <v>0</v>
      </c>
      <c r="K9" s="32">
        <f>SUM(D9:J9)</f>
        <v>5</v>
      </c>
    </row>
    <row r="10" spans="2:12" x14ac:dyDescent="0.25">
      <c r="B10" s="30" t="s">
        <v>46</v>
      </c>
      <c r="C10" s="31">
        <v>3</v>
      </c>
      <c r="D10" s="30">
        <v>2</v>
      </c>
      <c r="E10" s="30">
        <v>0</v>
      </c>
      <c r="F10" s="30">
        <v>0</v>
      </c>
      <c r="G10" s="30">
        <v>1</v>
      </c>
      <c r="H10" s="30">
        <v>0</v>
      </c>
      <c r="I10" s="30">
        <v>1</v>
      </c>
      <c r="J10" s="30">
        <v>0</v>
      </c>
      <c r="K10" s="32">
        <f>SUM(D10:J10)</f>
        <v>4</v>
      </c>
    </row>
    <row r="11" spans="2:12" x14ac:dyDescent="0.25">
      <c r="B11" s="30" t="s">
        <v>48</v>
      </c>
      <c r="C11" s="31">
        <v>0.5</v>
      </c>
      <c r="D11" s="33">
        <v>0.5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2">
        <f>SUM(D11:J11)</f>
        <v>0.5</v>
      </c>
    </row>
    <row r="12" spans="2:12" x14ac:dyDescent="0.25">
      <c r="B12" s="34" t="s">
        <v>91</v>
      </c>
      <c r="C12" s="29">
        <f t="shared" ref="C12:J12" si="0">SUM(C7:C11)</f>
        <v>11.5</v>
      </c>
      <c r="D12" s="29">
        <f t="shared" si="0"/>
        <v>3.5</v>
      </c>
      <c r="E12" s="29">
        <f t="shared" si="0"/>
        <v>2.5</v>
      </c>
      <c r="F12" s="29">
        <f t="shared" si="0"/>
        <v>1</v>
      </c>
      <c r="G12" s="29">
        <f t="shared" si="0"/>
        <v>3</v>
      </c>
      <c r="H12" s="29">
        <f t="shared" si="0"/>
        <v>1</v>
      </c>
      <c r="I12" s="29">
        <f t="shared" si="0"/>
        <v>2</v>
      </c>
      <c r="J12" s="29">
        <f t="shared" si="0"/>
        <v>1</v>
      </c>
      <c r="K12" s="32">
        <f t="shared" ref="K12" si="1">SUM(D12:J12)</f>
        <v>14</v>
      </c>
    </row>
    <row r="13" spans="2:12" x14ac:dyDescent="0.25">
      <c r="B13" s="34" t="s">
        <v>92</v>
      </c>
      <c r="C13" s="29">
        <f>SUM(C7:C11)</f>
        <v>11.5</v>
      </c>
      <c r="D13" s="29">
        <f>C13-(SUM(C7:C11)/7)</f>
        <v>9.8571428571428577</v>
      </c>
      <c r="E13" s="29">
        <f>D13-(SUM(C7:C11)/7)</f>
        <v>8.2142857142857153</v>
      </c>
      <c r="F13" s="29">
        <f>E13-(SUM(C7:C11)/7)</f>
        <v>6.571428571428573</v>
      </c>
      <c r="G13" s="29">
        <f>F13-(SUM(C7:C11)/7)</f>
        <v>4.9285714285714306</v>
      </c>
      <c r="H13" s="29">
        <f>G13-(SUM(C7:C11)/7)</f>
        <v>3.2857142857142878</v>
      </c>
      <c r="I13" s="29">
        <f>H13-(SUM(C7:C11)/7)</f>
        <v>1.642857142857145</v>
      </c>
      <c r="J13" s="29">
        <f>I13-(SUM(C7:C11)/7)</f>
        <v>2.2204460492503131E-15</v>
      </c>
      <c r="K13" s="35"/>
    </row>
    <row r="14" spans="2:12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 spans="2:12" x14ac:dyDescent="0.25">
      <c r="B15" s="36"/>
      <c r="C15" s="36"/>
      <c r="D15" s="36"/>
      <c r="E15" s="36"/>
      <c r="F15" s="36"/>
      <c r="G15" s="36"/>
      <c r="H15" s="36"/>
      <c r="I15" s="36"/>
      <c r="J15" s="36"/>
      <c r="K15" s="36"/>
    </row>
    <row r="16" spans="2:12" x14ac:dyDescent="0.25"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2:11" x14ac:dyDescent="0.25"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spans="2:11" x14ac:dyDescent="0.25">
      <c r="B18" s="36"/>
      <c r="C18" s="36"/>
      <c r="D18" s="36"/>
      <c r="E18" s="36"/>
      <c r="F18" s="36"/>
      <c r="G18" s="36"/>
      <c r="H18" s="36"/>
      <c r="I18" s="36"/>
      <c r="J18" s="36"/>
      <c r="K18" s="36"/>
    </row>
    <row r="19" spans="2:11" x14ac:dyDescent="0.25"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 spans="2:11" x14ac:dyDescent="0.25"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2:11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spans="2:11" x14ac:dyDescent="0.25">
      <c r="B22" s="37"/>
      <c r="C22" s="37"/>
      <c r="D22" s="37"/>
      <c r="E22" s="37"/>
      <c r="F22" s="36"/>
      <c r="G22" s="36"/>
      <c r="H22" s="36"/>
      <c r="I22" s="36"/>
      <c r="J22" s="36"/>
      <c r="K22" s="36"/>
    </row>
    <row r="23" spans="2:11" x14ac:dyDescent="0.25">
      <c r="B23" s="37"/>
      <c r="C23" s="37"/>
      <c r="D23" s="37"/>
      <c r="E23" s="37"/>
      <c r="F23" s="36"/>
      <c r="G23" s="36"/>
      <c r="H23" s="36"/>
      <c r="I23" s="36"/>
      <c r="J23" s="36"/>
      <c r="K23" s="36"/>
    </row>
    <row r="24" spans="2:11" x14ac:dyDescent="0.25">
      <c r="B24" s="37"/>
      <c r="C24" s="37"/>
      <c r="D24" s="37"/>
      <c r="E24" s="37"/>
      <c r="F24" s="36"/>
      <c r="G24" s="36"/>
      <c r="H24" s="36"/>
      <c r="I24" s="36"/>
      <c r="J24" s="36"/>
      <c r="K24" s="36"/>
    </row>
    <row r="25" spans="2:11" x14ac:dyDescent="0.25">
      <c r="B25" s="37"/>
      <c r="C25" s="37"/>
      <c r="D25" s="37"/>
      <c r="E25" s="37"/>
      <c r="F25" s="36"/>
      <c r="G25" s="36"/>
      <c r="H25" s="36"/>
      <c r="I25" s="36"/>
      <c r="J25" s="36"/>
      <c r="K25" s="36"/>
    </row>
    <row r="26" spans="2:11" x14ac:dyDescent="0.25">
      <c r="B26" s="37"/>
      <c r="C26" s="37"/>
      <c r="D26" s="37"/>
      <c r="E26" s="37"/>
      <c r="F26" s="36"/>
      <c r="G26" s="36"/>
      <c r="H26" s="36"/>
      <c r="I26" s="36"/>
      <c r="J26" s="36"/>
      <c r="K26" s="36"/>
    </row>
    <row r="27" spans="2:11" x14ac:dyDescent="0.25">
      <c r="B27" s="37"/>
      <c r="C27" s="37"/>
      <c r="D27" s="37"/>
      <c r="E27" s="37"/>
      <c r="F27" s="36"/>
      <c r="G27" s="36"/>
      <c r="H27" s="36"/>
      <c r="I27" s="36"/>
      <c r="J27" s="36"/>
      <c r="K27" s="36"/>
    </row>
    <row r="28" spans="2:11" x14ac:dyDescent="0.25">
      <c r="B28" s="37"/>
      <c r="C28" s="37"/>
      <c r="D28" s="37"/>
      <c r="E28" s="37"/>
      <c r="F28" s="36"/>
      <c r="G28" s="36"/>
      <c r="H28" s="36"/>
      <c r="I28" s="36"/>
      <c r="J28" s="36"/>
      <c r="K28" s="36"/>
    </row>
    <row r="29" spans="2:11" x14ac:dyDescent="0.25">
      <c r="B29" s="37"/>
      <c r="C29" s="37"/>
      <c r="D29" s="37"/>
      <c r="E29" s="37"/>
      <c r="F29" s="36"/>
      <c r="G29" s="36"/>
      <c r="H29" s="36"/>
      <c r="I29" s="36"/>
      <c r="J29" s="36"/>
      <c r="K29" s="36"/>
    </row>
    <row r="30" spans="2:11" x14ac:dyDescent="0.25">
      <c r="B30" s="37"/>
      <c r="C30" s="37"/>
      <c r="D30" s="37"/>
      <c r="E30" s="37"/>
      <c r="F30" s="36"/>
      <c r="G30" s="36"/>
      <c r="H30" s="36"/>
      <c r="I30" s="36"/>
      <c r="J30" s="36"/>
      <c r="K30" s="36"/>
    </row>
    <row r="31" spans="2:11" x14ac:dyDescent="0.25">
      <c r="B31" s="37"/>
      <c r="C31" s="37"/>
      <c r="D31" s="37"/>
      <c r="E31" s="37"/>
      <c r="F31" s="36"/>
      <c r="G31" s="36"/>
      <c r="H31" s="36"/>
      <c r="I31" s="36"/>
      <c r="J31" s="36"/>
      <c r="K31" s="36"/>
    </row>
    <row r="32" spans="2:11" x14ac:dyDescent="0.25">
      <c r="B32" s="37"/>
      <c r="C32" s="37"/>
      <c r="D32" s="37"/>
      <c r="E32" s="37"/>
      <c r="F32" s="36"/>
      <c r="G32" s="36"/>
      <c r="H32" s="36"/>
      <c r="I32" s="36"/>
      <c r="J32" s="36"/>
      <c r="K32" s="36"/>
    </row>
    <row r="33" spans="2:11" x14ac:dyDescent="0.25"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2:11" hidden="1" x14ac:dyDescent="0.25"/>
    <row r="35" spans="2:11" hidden="1" x14ac:dyDescent="0.25"/>
    <row r="36" spans="2:11" hidden="1" x14ac:dyDescent="0.25"/>
    <row r="37" spans="2:11" hidden="1" x14ac:dyDescent="0.25"/>
    <row r="38" spans="2:11" hidden="1" x14ac:dyDescent="0.25"/>
    <row r="39" spans="2:11" hidden="1" x14ac:dyDescent="0.25"/>
    <row r="42" spans="2:11" x14ac:dyDescent="0.25">
      <c r="B42" s="28" t="s">
        <v>93</v>
      </c>
      <c r="C42" s="28"/>
      <c r="D42" s="28"/>
      <c r="E42" s="28"/>
      <c r="F42" s="28"/>
      <c r="G42" s="28"/>
      <c r="H42" s="28"/>
      <c r="I42" s="28"/>
      <c r="J42" s="28"/>
      <c r="K42" s="28"/>
    </row>
    <row r="43" spans="2:11" x14ac:dyDescent="0.25">
      <c r="B43" s="29"/>
      <c r="C43" s="29" t="s">
        <v>82</v>
      </c>
      <c r="D43" s="29" t="s">
        <v>83</v>
      </c>
      <c r="E43" s="29" t="s">
        <v>84</v>
      </c>
      <c r="F43" s="29" t="s">
        <v>85</v>
      </c>
      <c r="G43" s="29" t="s">
        <v>86</v>
      </c>
      <c r="H43" s="29" t="s">
        <v>87</v>
      </c>
      <c r="I43" s="29" t="s">
        <v>88</v>
      </c>
      <c r="J43" s="29" t="s">
        <v>89</v>
      </c>
      <c r="K43" s="29" t="s">
        <v>90</v>
      </c>
    </row>
    <row r="44" spans="2:11" x14ac:dyDescent="0.25">
      <c r="B44" s="30" t="s">
        <v>51</v>
      </c>
      <c r="C44" s="31">
        <v>2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2</v>
      </c>
      <c r="K44" s="32">
        <f>SUM(D44:J44)</f>
        <v>2</v>
      </c>
    </row>
    <row r="45" spans="2:11" x14ac:dyDescent="0.25">
      <c r="B45" s="30" t="s">
        <v>54</v>
      </c>
      <c r="C45" s="31">
        <v>1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1</v>
      </c>
      <c r="J45" s="30">
        <v>0</v>
      </c>
      <c r="K45" s="32">
        <f>SUM(D45:J45)</f>
        <v>1</v>
      </c>
    </row>
    <row r="46" spans="2:11" x14ac:dyDescent="0.25">
      <c r="B46" s="30" t="s">
        <v>56</v>
      </c>
      <c r="C46" s="31">
        <v>1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1</v>
      </c>
      <c r="J46" s="30">
        <v>0</v>
      </c>
      <c r="K46" s="32">
        <f>SUM(D46:J46)</f>
        <v>1</v>
      </c>
    </row>
    <row r="47" spans="2:11" x14ac:dyDescent="0.25">
      <c r="B47" s="30" t="s">
        <v>58</v>
      </c>
      <c r="C47" s="31">
        <v>1</v>
      </c>
      <c r="D47" s="30">
        <v>0</v>
      </c>
      <c r="E47" s="30">
        <v>0</v>
      </c>
      <c r="F47" s="30">
        <v>0.5</v>
      </c>
      <c r="G47" s="30">
        <v>0</v>
      </c>
      <c r="H47" s="30">
        <v>0</v>
      </c>
      <c r="I47" s="30">
        <v>1</v>
      </c>
      <c r="J47" s="30">
        <v>0</v>
      </c>
      <c r="K47" s="32">
        <f>SUM(D47:J47)</f>
        <v>1.5</v>
      </c>
    </row>
    <row r="48" spans="2:11" x14ac:dyDescent="0.25">
      <c r="B48" s="30" t="s">
        <v>60</v>
      </c>
      <c r="C48" s="31">
        <v>1</v>
      </c>
      <c r="D48" s="30">
        <v>0</v>
      </c>
      <c r="E48" s="30">
        <v>0</v>
      </c>
      <c r="F48" s="30">
        <v>0</v>
      </c>
      <c r="G48" s="30">
        <v>0</v>
      </c>
      <c r="H48" s="30">
        <v>1</v>
      </c>
      <c r="I48" s="30">
        <v>0</v>
      </c>
      <c r="J48" s="30">
        <v>0</v>
      </c>
      <c r="K48" s="32">
        <f t="shared" ref="K48:K49" si="2">SUM(D48:J48)</f>
        <v>1</v>
      </c>
    </row>
    <row r="49" spans="2:11" x14ac:dyDescent="0.25">
      <c r="B49" s="34" t="s">
        <v>91</v>
      </c>
      <c r="C49" s="29">
        <f t="shared" ref="C49:J49" si="3">SUM(C44:C48)</f>
        <v>6</v>
      </c>
      <c r="D49" s="29">
        <f t="shared" si="3"/>
        <v>0</v>
      </c>
      <c r="E49" s="29">
        <f t="shared" si="3"/>
        <v>0</v>
      </c>
      <c r="F49" s="29">
        <f t="shared" si="3"/>
        <v>0.5</v>
      </c>
      <c r="G49" s="29">
        <f t="shared" si="3"/>
        <v>0</v>
      </c>
      <c r="H49" s="29">
        <f t="shared" si="3"/>
        <v>1</v>
      </c>
      <c r="I49" s="29">
        <f t="shared" si="3"/>
        <v>3</v>
      </c>
      <c r="J49" s="29">
        <f t="shared" si="3"/>
        <v>2</v>
      </c>
      <c r="K49" s="32">
        <f t="shared" si="2"/>
        <v>6.5</v>
      </c>
    </row>
    <row r="50" spans="2:11" x14ac:dyDescent="0.25">
      <c r="B50" s="34" t="s">
        <v>92</v>
      </c>
      <c r="C50" s="29">
        <f>SUM(C44:C48)</f>
        <v>6</v>
      </c>
      <c r="D50" s="29">
        <f>C50-(SUM(C44:C48)/7)</f>
        <v>5.1428571428571432</v>
      </c>
      <c r="E50" s="29">
        <f>D50-(SUM(C44:C48)/7)</f>
        <v>4.2857142857142865</v>
      </c>
      <c r="F50" s="29">
        <f>E50-(SUM(C44:C48)/7)</f>
        <v>3.4285714285714293</v>
      </c>
      <c r="G50" s="29">
        <f>F50-(SUM(C44:C48)/7)</f>
        <v>2.5714285714285721</v>
      </c>
      <c r="H50" s="29">
        <f>G50-(SUM(C44:C48)/7)</f>
        <v>1.7142857142857149</v>
      </c>
      <c r="I50" s="29">
        <f>H50-(SUM(C44:C48)/7)</f>
        <v>0.85714285714285776</v>
      </c>
      <c r="J50" s="29">
        <f>I50-(SUM(C44:C48)/7)</f>
        <v>0</v>
      </c>
      <c r="K50" s="35"/>
    </row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spans="2:11" hidden="1" x14ac:dyDescent="0.25"/>
    <row r="98" spans="2:11" hidden="1" x14ac:dyDescent="0.25"/>
    <row r="99" spans="2:11" hidden="1" x14ac:dyDescent="0.25"/>
    <row r="100" spans="2:11" hidden="1" x14ac:dyDescent="0.25"/>
    <row r="104" spans="2:11" x14ac:dyDescent="0.25">
      <c r="B104" s="28" t="s">
        <v>94</v>
      </c>
      <c r="C104" s="28"/>
      <c r="D104" s="28"/>
      <c r="E104" s="28"/>
      <c r="F104" s="28"/>
      <c r="G104" s="28"/>
      <c r="H104" s="28"/>
      <c r="I104" s="28"/>
      <c r="J104" s="28"/>
      <c r="K104" s="28"/>
    </row>
    <row r="105" spans="2:11" x14ac:dyDescent="0.25">
      <c r="B105" s="29"/>
      <c r="C105" s="29" t="s">
        <v>82</v>
      </c>
      <c r="D105" s="29" t="s">
        <v>83</v>
      </c>
      <c r="E105" s="29" t="s">
        <v>84</v>
      </c>
      <c r="F105" s="29" t="s">
        <v>85</v>
      </c>
      <c r="G105" s="29" t="s">
        <v>86</v>
      </c>
      <c r="H105" s="29" t="s">
        <v>87</v>
      </c>
      <c r="I105" s="29" t="s">
        <v>88</v>
      </c>
      <c r="J105" s="29" t="s">
        <v>89</v>
      </c>
      <c r="K105" s="29" t="s">
        <v>90</v>
      </c>
    </row>
    <row r="106" spans="2:11" x14ac:dyDescent="0.25">
      <c r="B106" s="30" t="s">
        <v>95</v>
      </c>
      <c r="C106" s="34">
        <v>1</v>
      </c>
      <c r="D106" s="30">
        <v>0</v>
      </c>
      <c r="E106" s="30">
        <v>0</v>
      </c>
      <c r="F106" s="30">
        <v>0</v>
      </c>
      <c r="G106" s="30">
        <v>0</v>
      </c>
      <c r="H106" s="30">
        <v>0.35</v>
      </c>
      <c r="I106" s="30">
        <v>0.25</v>
      </c>
      <c r="J106" s="30">
        <v>0.5</v>
      </c>
      <c r="K106" s="32">
        <f>SUM(D106:J106)</f>
        <v>1.1000000000000001</v>
      </c>
    </row>
    <row r="107" spans="2:11" x14ac:dyDescent="0.25">
      <c r="B107" s="30" t="s">
        <v>66</v>
      </c>
      <c r="C107" s="34">
        <v>1</v>
      </c>
      <c r="D107" s="30">
        <v>0</v>
      </c>
      <c r="E107" s="30">
        <v>0</v>
      </c>
      <c r="F107" s="30">
        <v>0</v>
      </c>
      <c r="G107" s="30">
        <v>0.25</v>
      </c>
      <c r="H107" s="30">
        <v>0.75</v>
      </c>
      <c r="I107" s="30">
        <v>0</v>
      </c>
      <c r="J107" s="30">
        <v>0</v>
      </c>
      <c r="K107" s="32">
        <f>SUM(D107:J107)</f>
        <v>1</v>
      </c>
    </row>
    <row r="108" spans="2:11" x14ac:dyDescent="0.25">
      <c r="B108" s="30" t="s">
        <v>68</v>
      </c>
      <c r="C108" s="34">
        <v>1.5</v>
      </c>
      <c r="D108" s="30">
        <v>0</v>
      </c>
      <c r="E108" s="30">
        <v>0.75</v>
      </c>
      <c r="F108" s="30">
        <v>0.5</v>
      </c>
      <c r="G108" s="30">
        <v>0.5</v>
      </c>
      <c r="H108" s="30">
        <v>0</v>
      </c>
      <c r="I108" s="30">
        <v>0</v>
      </c>
      <c r="J108" s="30">
        <v>0</v>
      </c>
      <c r="K108" s="32">
        <f>SUM(D108:J108)</f>
        <v>1.75</v>
      </c>
    </row>
    <row r="109" spans="2:11" x14ac:dyDescent="0.25">
      <c r="B109" s="30" t="s">
        <v>70</v>
      </c>
      <c r="C109" s="34">
        <v>1</v>
      </c>
      <c r="D109" s="30">
        <v>1</v>
      </c>
      <c r="E109" s="30">
        <v>0.25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2">
        <f>SUM(D109:J109)</f>
        <v>1.25</v>
      </c>
    </row>
    <row r="110" spans="2:11" x14ac:dyDescent="0.25">
      <c r="B110" s="34" t="s">
        <v>91</v>
      </c>
      <c r="C110" s="29">
        <f t="shared" ref="C110:J110" si="4">SUM(C106:C108)</f>
        <v>3.5</v>
      </c>
      <c r="D110" s="29">
        <f t="shared" si="4"/>
        <v>0</v>
      </c>
      <c r="E110" s="29">
        <f t="shared" si="4"/>
        <v>0.75</v>
      </c>
      <c r="F110" s="29">
        <f t="shared" si="4"/>
        <v>0.5</v>
      </c>
      <c r="G110" s="29">
        <f t="shared" si="4"/>
        <v>0.75</v>
      </c>
      <c r="H110" s="29">
        <f t="shared" si="4"/>
        <v>1.1000000000000001</v>
      </c>
      <c r="I110" s="29">
        <f t="shared" si="4"/>
        <v>0.25</v>
      </c>
      <c r="J110" s="29">
        <f t="shared" si="4"/>
        <v>0.5</v>
      </c>
      <c r="K110" s="32">
        <f t="shared" ref="K110" si="5">SUM(D110:J110)</f>
        <v>3.85</v>
      </c>
    </row>
    <row r="111" spans="2:11" x14ac:dyDescent="0.25">
      <c r="B111" s="34" t="s">
        <v>92</v>
      </c>
      <c r="C111" s="29">
        <f>SUM(C106:C108)</f>
        <v>3.5</v>
      </c>
      <c r="D111" s="29">
        <f>C111-(SUM(C106:C108)/7)</f>
        <v>3</v>
      </c>
      <c r="E111" s="29">
        <f>D111-(SUM(C106:C108)/7)</f>
        <v>2.5</v>
      </c>
      <c r="F111" s="29">
        <f>E111-(SUM(C106:C108)/7)</f>
        <v>2</v>
      </c>
      <c r="G111" s="29">
        <f>F111-(SUM(C106:C108)/7)</f>
        <v>1.5</v>
      </c>
      <c r="H111" s="29">
        <f>G111-(SUM(C106:C108)/7)</f>
        <v>1</v>
      </c>
      <c r="I111" s="29">
        <f>H111-(SUM(C106:C108)/7)</f>
        <v>0.5</v>
      </c>
      <c r="J111" s="29">
        <f>I111-(SUM(C106:C108)/7)</f>
        <v>0</v>
      </c>
      <c r="K111" s="35"/>
    </row>
    <row r="139" spans="2:11" x14ac:dyDescent="0.25">
      <c r="B139" s="28" t="s">
        <v>96</v>
      </c>
      <c r="C139" s="28"/>
      <c r="D139" s="28"/>
      <c r="E139" s="28"/>
      <c r="F139" s="28"/>
      <c r="G139" s="28"/>
      <c r="H139" s="28"/>
      <c r="I139" s="28"/>
      <c r="J139" s="28"/>
      <c r="K139" s="28"/>
    </row>
    <row r="140" spans="2:11" x14ac:dyDescent="0.25">
      <c r="B140" s="29"/>
      <c r="C140" s="29" t="s">
        <v>82</v>
      </c>
      <c r="D140" s="29" t="s">
        <v>83</v>
      </c>
      <c r="E140" s="29" t="s">
        <v>84</v>
      </c>
      <c r="F140" s="29" t="s">
        <v>85</v>
      </c>
      <c r="G140" s="29" t="s">
        <v>86</v>
      </c>
      <c r="H140" s="29" t="s">
        <v>87</v>
      </c>
      <c r="I140" s="29" t="s">
        <v>88</v>
      </c>
      <c r="J140" s="29" t="s">
        <v>89</v>
      </c>
      <c r="K140" s="29" t="s">
        <v>90</v>
      </c>
    </row>
    <row r="141" spans="2:11" x14ac:dyDescent="0.25">
      <c r="B141" s="30" t="s">
        <v>63</v>
      </c>
      <c r="C141" s="34">
        <v>1</v>
      </c>
      <c r="D141" s="30">
        <v>0</v>
      </c>
      <c r="E141" s="30">
        <v>0</v>
      </c>
      <c r="F141" s="30">
        <v>0</v>
      </c>
      <c r="G141" s="30">
        <v>0</v>
      </c>
      <c r="H141" s="30">
        <v>0</v>
      </c>
      <c r="I141" s="30">
        <v>0.5</v>
      </c>
      <c r="J141" s="30">
        <v>0.5</v>
      </c>
      <c r="K141" s="32">
        <f>SUM(D141:J141)</f>
        <v>1</v>
      </c>
    </row>
    <row r="142" spans="2:11" x14ac:dyDescent="0.25">
      <c r="B142" s="30" t="s">
        <v>73</v>
      </c>
      <c r="C142" s="34">
        <v>1</v>
      </c>
      <c r="D142" s="30">
        <v>0</v>
      </c>
      <c r="E142" s="30">
        <v>0</v>
      </c>
      <c r="F142" s="30">
        <v>0</v>
      </c>
      <c r="G142" s="30">
        <v>0.55000000000000004</v>
      </c>
      <c r="H142" s="30">
        <v>0.5</v>
      </c>
      <c r="I142" s="30">
        <v>0</v>
      </c>
      <c r="J142" s="30">
        <v>0</v>
      </c>
      <c r="K142" s="32">
        <f>SUM(D142:J142)</f>
        <v>1.05</v>
      </c>
    </row>
    <row r="143" spans="2:11" x14ac:dyDescent="0.25">
      <c r="B143" s="30" t="s">
        <v>75</v>
      </c>
      <c r="C143" s="34">
        <v>0.5</v>
      </c>
      <c r="D143" s="30">
        <v>0</v>
      </c>
      <c r="E143" s="30">
        <v>0</v>
      </c>
      <c r="F143" s="30">
        <v>0.5</v>
      </c>
      <c r="G143" s="30">
        <v>0</v>
      </c>
      <c r="H143" s="30">
        <v>0</v>
      </c>
      <c r="I143" s="30">
        <v>0</v>
      </c>
      <c r="J143" s="30">
        <v>0</v>
      </c>
      <c r="K143" s="32">
        <f>SUM(D143:J143)</f>
        <v>0.5</v>
      </c>
    </row>
    <row r="144" spans="2:11" x14ac:dyDescent="0.25">
      <c r="B144" s="30" t="s">
        <v>77</v>
      </c>
      <c r="C144" s="34">
        <v>2</v>
      </c>
      <c r="D144" s="30">
        <v>1.5</v>
      </c>
      <c r="E144" s="30">
        <v>1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2">
        <f>SUM(D144:J144)</f>
        <v>2.5</v>
      </c>
    </row>
    <row r="145" spans="2:11" x14ac:dyDescent="0.25">
      <c r="B145" s="34" t="s">
        <v>91</v>
      </c>
      <c r="C145" s="29">
        <f t="shared" ref="C145:J145" si="6">SUM(C141:C143)</f>
        <v>2.5</v>
      </c>
      <c r="D145" s="29">
        <f t="shared" si="6"/>
        <v>0</v>
      </c>
      <c r="E145" s="29">
        <f t="shared" si="6"/>
        <v>0</v>
      </c>
      <c r="F145" s="29">
        <f t="shared" si="6"/>
        <v>0.5</v>
      </c>
      <c r="G145" s="29">
        <f t="shared" si="6"/>
        <v>0.55000000000000004</v>
      </c>
      <c r="H145" s="29">
        <f t="shared" si="6"/>
        <v>0.5</v>
      </c>
      <c r="I145" s="29">
        <f t="shared" si="6"/>
        <v>0.5</v>
      </c>
      <c r="J145" s="29">
        <f t="shared" si="6"/>
        <v>0.5</v>
      </c>
      <c r="K145" s="32">
        <f t="shared" ref="K145" si="7">SUM(D145:J145)</f>
        <v>2.5499999999999998</v>
      </c>
    </row>
    <row r="146" spans="2:11" x14ac:dyDescent="0.25">
      <c r="B146" s="34" t="s">
        <v>92</v>
      </c>
      <c r="C146" s="29">
        <f>SUM(C141:C143)</f>
        <v>2.5</v>
      </c>
      <c r="D146" s="29">
        <f>C146-(SUM(C141:C143)/7)</f>
        <v>2.1428571428571428</v>
      </c>
      <c r="E146" s="29">
        <f>D146-(SUM(C141:C143)/7)</f>
        <v>1.7857142857142856</v>
      </c>
      <c r="F146" s="29">
        <f>E146-(SUM(C141:C143)/7)</f>
        <v>1.4285714285714284</v>
      </c>
      <c r="G146" s="29">
        <f>F146-(SUM(C141:C143)/7)</f>
        <v>1.0714285714285712</v>
      </c>
      <c r="H146" s="29">
        <f>G146-(SUM(C141:C143)/7)</f>
        <v>0.71428571428571397</v>
      </c>
      <c r="I146" s="29">
        <f>H146-(SUM(C141:C143)/7)</f>
        <v>0.35714285714285682</v>
      </c>
      <c r="J146" s="29">
        <f>I146-(SUM(C141:C143)/7)</f>
        <v>0</v>
      </c>
      <c r="K146" s="35"/>
    </row>
  </sheetData>
  <mergeCells count="6">
    <mergeCell ref="G2:K2"/>
    <mergeCell ref="B5:K5"/>
    <mergeCell ref="B22:E32"/>
    <mergeCell ref="B42:K42"/>
    <mergeCell ref="B104:K104"/>
    <mergeCell ref="B139:K1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3</vt:lpstr>
      <vt:lpstr>Budorchant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Rodriguez</dc:creator>
  <cp:lastModifiedBy>Mateo Rodriguez</cp:lastModifiedBy>
  <dcterms:created xsi:type="dcterms:W3CDTF">2026-07-15T13:50:54Z</dcterms:created>
  <dcterms:modified xsi:type="dcterms:W3CDTF">2026-07-15T14:39:56Z</dcterms:modified>
</cp:coreProperties>
</file>