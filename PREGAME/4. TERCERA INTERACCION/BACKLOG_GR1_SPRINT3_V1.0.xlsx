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DE6EB63-3C2B-4466-A81B-5C021AE0DC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cklog" sheetId="1" r:id="rId1"/>
    <sheet name="Sprints" sheetId="4" r:id="rId2"/>
    <sheet name="burdochart-3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6" l="1"/>
  <c r="D50" i="6" s="1"/>
  <c r="E50" i="6" s="1"/>
  <c r="F50" i="6" s="1"/>
  <c r="G50" i="6" s="1"/>
  <c r="H50" i="6" s="1"/>
  <c r="I50" i="6" s="1"/>
  <c r="J50" i="6" s="1"/>
  <c r="C49" i="6"/>
  <c r="F49" i="6"/>
  <c r="G49" i="6"/>
  <c r="E49" i="6"/>
  <c r="D49" i="6"/>
  <c r="J49" i="6"/>
  <c r="H49" i="6"/>
  <c r="I49" i="6"/>
  <c r="K48" i="6"/>
  <c r="K49" i="6"/>
  <c r="K141" i="6"/>
  <c r="K142" i="6"/>
  <c r="K143" i="6"/>
  <c r="K144" i="6"/>
  <c r="C145" i="6"/>
  <c r="D145" i="6"/>
  <c r="E145" i="6"/>
  <c r="F145" i="6"/>
  <c r="G145" i="6"/>
  <c r="H145" i="6"/>
  <c r="I145" i="6"/>
  <c r="J145" i="6"/>
  <c r="C146" i="6"/>
  <c r="D146" i="6" s="1"/>
  <c r="E146" i="6" s="1"/>
  <c r="F146" i="6" s="1"/>
  <c r="G146" i="6" s="1"/>
  <c r="H146" i="6" s="1"/>
  <c r="I146" i="6" s="1"/>
  <c r="J146" i="6" s="1"/>
  <c r="K106" i="6"/>
  <c r="K107" i="6"/>
  <c r="K108" i="6"/>
  <c r="K109" i="6"/>
  <c r="C110" i="6"/>
  <c r="D110" i="6"/>
  <c r="E110" i="6"/>
  <c r="F110" i="6"/>
  <c r="G110" i="6"/>
  <c r="H110" i="6"/>
  <c r="I110" i="6"/>
  <c r="J110" i="6"/>
  <c r="C111" i="6"/>
  <c r="D111" i="6"/>
  <c r="E111" i="6" s="1"/>
  <c r="F111" i="6" s="1"/>
  <c r="G111" i="6" s="1"/>
  <c r="H111" i="6" s="1"/>
  <c r="I111" i="6" s="1"/>
  <c r="J111" i="6" s="1"/>
  <c r="K44" i="6"/>
  <c r="K45" i="6"/>
  <c r="K46" i="6"/>
  <c r="K47" i="6"/>
  <c r="K7" i="6"/>
  <c r="K8" i="6"/>
  <c r="K9" i="6"/>
  <c r="K10" i="6"/>
  <c r="K11" i="6"/>
  <c r="C12" i="6"/>
  <c r="D12" i="6"/>
  <c r="E12" i="6"/>
  <c r="F12" i="6"/>
  <c r="G12" i="6"/>
  <c r="H12" i="6"/>
  <c r="I12" i="6"/>
  <c r="J12" i="6"/>
  <c r="C13" i="6"/>
  <c r="D13" i="6" s="1"/>
  <c r="E13" i="6" s="1"/>
  <c r="F13" i="6" s="1"/>
  <c r="G13" i="6" s="1"/>
  <c r="H13" i="6" s="1"/>
  <c r="I13" i="6" s="1"/>
  <c r="J13" i="6" s="1"/>
</calcChain>
</file>

<file path=xl/sharedStrings.xml><?xml version="1.0" encoding="utf-8"?>
<sst xmlns="http://schemas.openxmlformats.org/spreadsheetml/2006/main" count="209" uniqueCount="94">
  <si>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</si>
  <si>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</si>
  <si>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</si>
  <si>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</si>
  <si>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</si>
  <si>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</si>
  <si>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</si>
  <si>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</si>
  <si>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Administrador del sistema</t>
  </si>
  <si>
    <t>-</t>
  </si>
  <si>
    <t>Alta</t>
  </si>
  <si>
    <t>Terminado</t>
  </si>
  <si>
    <t>REQ010</t>
  </si>
  <si>
    <t>Catalogo de Productos</t>
  </si>
  <si>
    <t xml:space="preserve">Visualizar los productos registrados con su imagen, nombre, tamaño y precio </t>
  </si>
  <si>
    <t>Seleccionar y agregar productos de forma rápida al momento de realizar una venta</t>
  </si>
  <si>
    <t>REQ011</t>
  </si>
  <si>
    <t xml:space="preserve">Registros de Ventas </t>
  </si>
  <si>
    <t>Registrar las ventas realizadas en el sistema.</t>
  </si>
  <si>
    <t>Conocer la ganancia del dia y obtener los productos vendidos</t>
  </si>
  <si>
    <t>REQ012</t>
  </si>
  <si>
    <t>Emisión Nota Venta</t>
  </si>
  <si>
    <t>Generar una nota de venta digital con el detalle de la compra para su impresión o entrega al cliente.</t>
  </si>
  <si>
    <t xml:space="preserve">Entregar un comprobante de la compra al cliente </t>
  </si>
  <si>
    <t>REQ013</t>
  </si>
  <si>
    <t>Exportar Reportes Excel</t>
  </si>
  <si>
    <t>Exportar los datos consolidados de ventas y clientes a un archivo Excel estructurado.</t>
  </si>
  <si>
    <t>Entender qué productos se venden más y el desempeño del negocio</t>
  </si>
  <si>
    <t>Necesito</t>
  </si>
  <si>
    <t>así podre...</t>
  </si>
  <si>
    <t>Prioridad</t>
  </si>
  <si>
    <t>Status</t>
  </si>
  <si>
    <t>Administrador del Sistema</t>
  </si>
  <si>
    <t>#intentos</t>
  </si>
  <si>
    <t>Tareas</t>
  </si>
  <si>
    <t>Asignado</t>
  </si>
  <si>
    <t>Estimado</t>
  </si>
  <si>
    <t>Esteban Cuichan</t>
  </si>
  <si>
    <t>Johan Catota</t>
  </si>
  <si>
    <t>Eatan Ayala</t>
  </si>
  <si>
    <t>SPRINT 3</t>
  </si>
  <si>
    <t>Modulo de Ventas y Almacenamiento Excel</t>
  </si>
  <si>
    <t>No iniciada</t>
  </si>
  <si>
    <t>REQ010-1</t>
  </si>
  <si>
    <t>Diseñar interfaz del catálogo</t>
  </si>
  <si>
    <t>REQ010-2</t>
  </si>
  <si>
    <t>Integrar repositorio de productos de forma dinamica</t>
  </si>
  <si>
    <t>REQ010-3</t>
  </si>
  <si>
    <t>Gestionar  Uso de imágenes de productos</t>
  </si>
  <si>
    <t>REQ010-4</t>
  </si>
  <si>
    <t xml:space="preserve">Implementar selección de producto </t>
  </si>
  <si>
    <t>REQ010-5</t>
  </si>
  <si>
    <t>Optimizar carga y refresco de Catalogo</t>
  </si>
  <si>
    <t>Registro de Ventas</t>
  </si>
  <si>
    <t>REQ011-1</t>
  </si>
  <si>
    <t>Diseñar interfaz Ventas</t>
  </si>
  <si>
    <t>REQ011-2</t>
  </si>
  <si>
    <t>Permitir busqueda por Nombre para seleccionar cliente "Activo" en una tabla</t>
  </si>
  <si>
    <t>REQ011-3</t>
  </si>
  <si>
    <t>Agregar producto a un carrito de compras al seleccionarlo</t>
  </si>
  <si>
    <t>REQ011-4</t>
  </si>
  <si>
    <t>Agregar cantidad de producto a comprar</t>
  </si>
  <si>
    <t>REQ011-5</t>
  </si>
  <si>
    <t>Guardar en base de datos la venta y los detalles de la misma</t>
  </si>
  <si>
    <t>REQ013-1</t>
  </si>
  <si>
    <t>Generar búsqueda dínamica por nombres para obtener la venta de cada cliente.</t>
  </si>
  <si>
    <t>REQ012-2</t>
  </si>
  <si>
    <t>Conectar la búsqueda con la tabla de ventas</t>
  </si>
  <si>
    <t>REQ012-3</t>
  </si>
  <si>
    <t>Generar una vista previa de la nota de venta tipo PDF</t>
  </si>
  <si>
    <t>REQ012-4</t>
  </si>
  <si>
    <t>Generar la exportación de nota de venta en PDF</t>
  </si>
  <si>
    <t>Crear filtramiento por fechas para la exportación</t>
  </si>
  <si>
    <t>REQ013-2</t>
  </si>
  <si>
    <t>Vincular filtramiento por fechas con la tabla de ventas</t>
  </si>
  <si>
    <t>REQ013-3</t>
  </si>
  <si>
    <t>Crear boton para exportar ventas a Excel</t>
  </si>
  <si>
    <t>REQ013-4</t>
  </si>
  <si>
    <t>Generar Excel con gráficos analiticos sobre las ventas en el rango de fecha ingresado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</si>
  <si>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</si>
  <si>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</si>
  <si>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</si>
  <si>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</si>
  <si>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</si>
  <si>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</si>
  <si>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</si>
  <si>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</si>
  <si>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</si>
  <si>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</si>
  <si>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REQ010 - CATALOGO DE PRODUCTOS</t>
  </si>
  <si>
    <t>REQ011 -REGISTRO DE VENTAS</t>
  </si>
  <si>
    <t>REQ012 -EMISION DE NOTA DE VENTA</t>
  </si>
  <si>
    <t>REQ012-1</t>
  </si>
  <si>
    <t>REQ013 -EXPORTACION DE REPORTES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</si>
</sst>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4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rgb="FF000000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</cellStyleXfs>
  <cellXfs count="40">
    <xf numFmtId="0" fontId="0" fillId="0" borderId="0" xfId="0"/>
    <xf numFmtId="0" fontId="0" fillId="0" borderId="1" xfId="0" applyBorder="1"/>
    <xf numFmtId="0" fontId="8" fillId="0" borderId="1" xfId="1"/>
    <xf numFmtId="0" fontId="1" fillId="0" borderId="4" xfId="1" applyFont="1" applyBorder="1" applyAlignment="1">
      <alignment horizontal="center"/>
    </xf>
    <xf numFmtId="0" fontId="2" fillId="0" borderId="4" xfId="1" applyFont="1" applyBorder="1"/>
    <xf numFmtId="0" fontId="2" fillId="0" borderId="6" xfId="1" applyFont="1" applyBorder="1"/>
    <xf numFmtId="0" fontId="8" fillId="3" borderId="2" xfId="1" applyFill="1" applyBorder="1"/>
    <xf numFmtId="0" fontId="2" fillId="2" borderId="5" xfId="1" applyFont="1" applyFill="1" applyBorder="1"/>
    <xf numFmtId="0" fontId="8" fillId="0" borderId="2" xfId="1" applyBorder="1"/>
    <xf numFmtId="0" fontId="3" fillId="0" borderId="2" xfId="1" applyFont="1" applyBorder="1"/>
    <xf numFmtId="0" fontId="2" fillId="2" borderId="2" xfId="1" applyFont="1" applyFill="1" applyBorder="1"/>
    <xf numFmtId="0" fontId="2" fillId="2" borderId="2" xfId="1" applyFont="1" applyFill="1" applyBorder="1" applyAlignment="1">
      <alignment horizontal="left" wrapText="1"/>
    </xf>
    <xf numFmtId="0" fontId="2" fillId="2" borderId="2" xfId="1" applyFont="1" applyFill="1" applyBorder="1" applyAlignment="1">
      <alignment wrapText="1"/>
    </xf>
    <xf numFmtId="0" fontId="1" fillId="0" borderId="2" xfId="1" applyFont="1" applyBorder="1"/>
    <xf numFmtId="0" fontId="2" fillId="0" borderId="2" xfId="1" applyFont="1" applyBorder="1"/>
    <xf numFmtId="0" fontId="7" fillId="0" borderId="2" xfId="1" applyFont="1" applyBorder="1"/>
    <xf numFmtId="0" fontId="1" fillId="0" borderId="3" xfId="2" applyFont="1" applyBorder="1" applyAlignment="1">
      <alignment horizontal="center"/>
    </xf>
    <xf numFmtId="0" fontId="4" fillId="0" borderId="2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wrapText="1"/>
    </xf>
    <xf numFmtId="0" fontId="5" fillId="0" borderId="2" xfId="2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1" fillId="0" borderId="2" xfId="5" applyFont="1" applyBorder="1"/>
    <xf numFmtId="0" fontId="6" fillId="7" borderId="2" xfId="3" applyFont="1" applyFill="1" applyBorder="1" applyAlignment="1">
      <alignment horizontal="left" vertical="center" wrapText="1"/>
    </xf>
    <xf numFmtId="0" fontId="6" fillId="0" borderId="2" xfId="1" applyFont="1" applyBorder="1"/>
    <xf numFmtId="0" fontId="6" fillId="0" borderId="2" xfId="1" applyFont="1" applyBorder="1" applyAlignment="1">
      <alignment wrapText="1"/>
    </xf>
    <xf numFmtId="0" fontId="0" fillId="5" borderId="2" xfId="1" applyFont="1" applyFill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0" fillId="4" borderId="2" xfId="1" applyFont="1" applyFill="1" applyBorder="1" applyAlignment="1">
      <alignment horizontal="center" vertical="center"/>
    </xf>
    <xf numFmtId="2" fontId="0" fillId="0" borderId="2" xfId="1" applyNumberFormat="1" applyFont="1" applyBorder="1" applyAlignment="1">
      <alignment horizontal="center" vertical="center"/>
    </xf>
    <xf numFmtId="0" fontId="0" fillId="0" borderId="1" xfId="1" applyFont="1" applyAlignment="1">
      <alignment horizontal="center" vertical="center"/>
    </xf>
    <xf numFmtId="0" fontId="0" fillId="0" borderId="1" xfId="1" applyFont="1"/>
    <xf numFmtId="0" fontId="8" fillId="0" borderId="5" xfId="1" applyBorder="1"/>
    <xf numFmtId="0" fontId="9" fillId="0" borderId="1" xfId="1" applyFont="1" applyAlignment="1">
      <alignment horizontal="left" vertical="center" wrapText="1"/>
    </xf>
    <xf numFmtId="0" fontId="0" fillId="0" borderId="2" xfId="1" applyFont="1" applyBorder="1" applyAlignment="1">
      <alignment horizontal="center" vertical="center"/>
    </xf>
    <xf numFmtId="0" fontId="6" fillId="3" borderId="7" xfId="1" applyFont="1" applyFill="1" applyBorder="1" applyAlignment="1">
      <alignment horizontal="left" vertical="center" wrapText="1"/>
    </xf>
    <xf numFmtId="0" fontId="6" fillId="3" borderId="8" xfId="1" applyFont="1" applyFill="1" applyBorder="1" applyAlignment="1">
      <alignment horizontal="left" vertical="center" wrapText="1"/>
    </xf>
    <xf numFmtId="0" fontId="6" fillId="3" borderId="9" xfId="1" applyFont="1" applyFill="1" applyBorder="1" applyAlignment="1">
      <alignment horizontal="left" vertical="center" wrapText="1"/>
    </xf>
  </cellXfs>
  <cellStyles count="6">
    <cellStyle name="Normal" xfId="0" builtinId="0"/>
    <cellStyle name="Normal 2" xfId="1" xr:uid="{27F413C8-0966-4A49-84BA-E7F5075EB20D}"/>
    <cellStyle name="Normal 3" xfId="2" xr:uid="{35736307-809D-4C30-9AFE-6C8726CC5C49}"/>
    <cellStyle name="Normal 4" xfId="3" xr:uid="{FDA1A4AB-0E0D-4811-84A6-DE8F796DFFEC}"/>
    <cellStyle name="Normal 5" xfId="4" xr:uid="{5AE2B4F0-221A-4A83-8946-689A92C7494A}"/>
    <cellStyle name="Normal 6" xfId="5" xr:uid="{71CAFE90-95FC-4A82-AC1F-5B13F0F60C12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'burdochart-3'!$B$12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'burdochart-3'!$C$12:$J$12</c:f>
              <c:numCache>
                <c:formatCode>General</c:formatCode>
                <c:ptCount val="8"/>
                <c:pt idx="0">
                  <c:v>11.5</c:v>
                </c:pt>
                <c:pt idx="1">
                  <c:v>3.5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6-4BF0-BD20-CB9669CCA28C}"/>
            </c:ext>
          </c:extLst>
        </c:ser>
        <c:ser>
          <c:idx val="1"/>
          <c:order val="1"/>
          <c:tx>
            <c:strRef>
              <c:f>'burdochart-3'!$B$13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'burdochart-3'!$C$13:$J$13</c:f>
              <c:numCache>
                <c:formatCode>General</c:formatCode>
                <c:ptCount val="8"/>
                <c:pt idx="0">
                  <c:v>11.5</c:v>
                </c:pt>
                <c:pt idx="1">
                  <c:v>9.8571428571428577</c:v>
                </c:pt>
                <c:pt idx="2">
                  <c:v>8.2142857142857153</c:v>
                </c:pt>
                <c:pt idx="3">
                  <c:v>6.571428571428573</c:v>
                </c:pt>
                <c:pt idx="4">
                  <c:v>4.9285714285714306</c:v>
                </c:pt>
                <c:pt idx="5">
                  <c:v>3.2857142857142878</c:v>
                </c:pt>
                <c:pt idx="6">
                  <c:v>1.642857142857145</c:v>
                </c:pt>
                <c:pt idx="7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66-4BF0-BD20-CB9669CCA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91280379510935"/>
          <c:y val="6.4945407791754339E-2"/>
          <c:w val="0.32647177466278937"/>
          <c:h val="9.0091573201269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'burdochart-3'!$B$49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'burdochart-3'!$C$49:$J$49</c:f>
              <c:numCache>
                <c:formatCode>General</c:formatCode>
                <c:ptCount val="8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8-4A5B-88C3-57690DC18187}"/>
            </c:ext>
          </c:extLst>
        </c:ser>
        <c:ser>
          <c:idx val="1"/>
          <c:order val="1"/>
          <c:tx>
            <c:strRef>
              <c:f>'burdochart-3'!$B$50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'burdochart-3'!$C$50:$J$50</c:f>
              <c:numCache>
                <c:formatCode>General</c:formatCode>
                <c:ptCount val="8"/>
                <c:pt idx="0">
                  <c:v>6</c:v>
                </c:pt>
                <c:pt idx="1">
                  <c:v>5.1428571428571432</c:v>
                </c:pt>
                <c:pt idx="2">
                  <c:v>4.2857142857142865</c:v>
                </c:pt>
                <c:pt idx="3">
                  <c:v>3.4285714285714293</c:v>
                </c:pt>
                <c:pt idx="4">
                  <c:v>2.5714285714285721</c:v>
                </c:pt>
                <c:pt idx="5">
                  <c:v>1.7142857142857149</c:v>
                </c:pt>
                <c:pt idx="6">
                  <c:v>0.85714285714285776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A8-4A5B-88C3-57690DC18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'burdochart-3'!$B$110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'burdochart-3'!$C$110:$J$110</c:f>
              <c:numCache>
                <c:formatCode>General</c:formatCode>
                <c:ptCount val="8"/>
                <c:pt idx="0">
                  <c:v>3.5</c:v>
                </c:pt>
                <c:pt idx="1">
                  <c:v>0</c:v>
                </c:pt>
                <c:pt idx="2">
                  <c:v>0.75</c:v>
                </c:pt>
                <c:pt idx="3">
                  <c:v>0.5</c:v>
                </c:pt>
                <c:pt idx="4">
                  <c:v>0.75</c:v>
                </c:pt>
                <c:pt idx="5">
                  <c:v>1.1000000000000001</c:v>
                </c:pt>
                <c:pt idx="6">
                  <c:v>0.25</c:v>
                </c:pt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5-4282-AAB2-DA7378754C51}"/>
            </c:ext>
          </c:extLst>
        </c:ser>
        <c:ser>
          <c:idx val="1"/>
          <c:order val="1"/>
          <c:tx>
            <c:strRef>
              <c:f>'burdochart-3'!$B$111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'burdochart-3'!$C$111:$J$111</c:f>
              <c:numCache>
                <c:formatCode>General</c:formatCode>
                <c:ptCount val="8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1.5</c:v>
                </c:pt>
                <c:pt idx="5">
                  <c:v>1</c:v>
                </c:pt>
                <c:pt idx="6">
                  <c:v>0.5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45-4282-AAB2-DA7378754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'burdochart-3'!$B$145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'burdochart-3'!$C$145:$J$145</c:f>
              <c:numCache>
                <c:formatCode>General</c:formatCode>
                <c:ptCount val="8"/>
                <c:pt idx="0">
                  <c:v>2.5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0.55000000000000004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1-4FF6-BC23-BE865B00005D}"/>
            </c:ext>
          </c:extLst>
        </c:ser>
        <c:ser>
          <c:idx val="1"/>
          <c:order val="1"/>
          <c:tx>
            <c:strRef>
              <c:f>'burdochart-3'!$B$146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'burdochart-3'!$C$146:$J$146</c:f>
              <c:numCache>
                <c:formatCode>General</c:formatCode>
                <c:ptCount val="8"/>
                <c:pt idx="0">
                  <c:v>2.5</c:v>
                </c:pt>
                <c:pt idx="1">
                  <c:v>2.1428571428571428</c:v>
                </c:pt>
                <c:pt idx="2">
                  <c:v>1.7857142857142856</c:v>
                </c:pt>
                <c:pt idx="3">
                  <c:v>1.4285714285714284</c:v>
                </c:pt>
                <c:pt idx="4">
                  <c:v>1.0714285714285712</c:v>
                </c:pt>
                <c:pt idx="5">
                  <c:v>0.71428571428571397</c:v>
                </c:pt>
                <c:pt idx="6">
                  <c:v>0.35714285714285682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E1-4FF6-BC23-BE865B000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472185</xdr:colOff>
      <xdr:row>13</xdr:row>
      <xdr:rowOff>169811</xdr:rowOff>
    </xdr:from>
    <xdr:ext cx="9065773" cy="3517077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6425D9F0-9825-4FCC-A700-AA50F6E69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3</xdr:col>
      <xdr:colOff>404004</xdr:colOff>
      <xdr:row>14</xdr:row>
      <xdr:rowOff>11467</xdr:rowOff>
    </xdr:from>
    <xdr:to>
      <xdr:col>9</xdr:col>
      <xdr:colOff>92400</xdr:colOff>
      <xdr:row>15</xdr:row>
      <xdr:rowOff>54557</xdr:rowOff>
    </xdr:to>
    <xdr:sp macro="" textlink="">
      <xdr:nvSpPr>
        <xdr:cNvPr id="6" name="CuadroTexto 2">
          <a:extLst>
            <a:ext uri="{FF2B5EF4-FFF2-40B4-BE49-F238E27FC236}">
              <a16:creationId xmlns:a16="http://schemas.microsoft.com/office/drawing/2014/main" id="{714F868A-E4CB-4B4B-B052-2621C0E62CDD}"/>
            </a:ext>
            <a:ext uri="{147F2762-F138-4A5C-976F-8EAC2B608ADB}">
              <a16:predDERef xmlns:a16="http://schemas.microsoft.com/office/drawing/2014/main" pred="{6425D9F0-9825-4FCC-A700-AA50F6E690D1}"/>
            </a:ext>
          </a:extLst>
        </xdr:cNvPr>
        <xdr:cNvSpPr txBox="1"/>
      </xdr:nvSpPr>
      <xdr:spPr>
        <a:xfrm>
          <a:off x="13281804" y="2278417"/>
          <a:ext cx="3774621" cy="205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REQ010 - CATALOGO DE PRODUCTOS</a:t>
          </a:r>
        </a:p>
      </xdr:txBody>
    </xdr:sp>
    <xdr:clientData/>
  </xdr:twoCellAnchor>
  <xdr:oneCellAnchor>
    <xdr:from>
      <xdr:col>1</xdr:col>
      <xdr:colOff>0</xdr:colOff>
      <xdr:row>51</xdr:row>
      <xdr:rowOff>40869</xdr:rowOff>
    </xdr:from>
    <xdr:ext cx="9065773" cy="3517077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A4470607-210F-4177-A1B3-5916418E19F2}"/>
            </a:ext>
            <a:ext uri="{147F2762-F138-4A5C-976F-8EAC2B608ADB}">
              <a16:predDERef xmlns:a16="http://schemas.microsoft.com/office/drawing/2014/main" pred="{714F868A-E4CB-4B4B-B052-2621C0E62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3</xdr:col>
      <xdr:colOff>97585</xdr:colOff>
      <xdr:row>51</xdr:row>
      <xdr:rowOff>28575</xdr:rowOff>
    </xdr:from>
    <xdr:to>
      <xdr:col>8</xdr:col>
      <xdr:colOff>839258</xdr:colOff>
      <xdr:row>52</xdr:row>
      <xdr:rowOff>134303</xdr:rowOff>
    </xdr:to>
    <xdr:sp macro="" textlink="">
      <xdr:nvSpPr>
        <xdr:cNvPr id="8" name="CuadroTexto 5">
          <a:extLst>
            <a:ext uri="{FF2B5EF4-FFF2-40B4-BE49-F238E27FC236}">
              <a16:creationId xmlns:a16="http://schemas.microsoft.com/office/drawing/2014/main" id="{78DD5009-B682-485C-A11B-3F3D0355C9CB}"/>
            </a:ext>
            <a:ext uri="{147F2762-F138-4A5C-976F-8EAC2B608ADB}">
              <a16:predDERef xmlns:a16="http://schemas.microsoft.com/office/drawing/2014/main" pred="{A4470607-210F-4177-A1B3-5916418E19F2}"/>
            </a:ext>
          </a:extLst>
        </xdr:cNvPr>
        <xdr:cNvSpPr txBox="1"/>
      </xdr:nvSpPr>
      <xdr:spPr>
        <a:xfrm>
          <a:off x="3212260" y="8124825"/>
          <a:ext cx="438022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REQ011 -REGISTRO DE VENTAS</a:t>
          </a:r>
        </a:p>
      </xdr:txBody>
    </xdr:sp>
    <xdr:clientData/>
  </xdr:twoCellAnchor>
  <xdr:oneCellAnchor>
    <xdr:from>
      <xdr:col>1</xdr:col>
      <xdr:colOff>0</xdr:colOff>
      <xdr:row>112</xdr:row>
      <xdr:rowOff>40869</xdr:rowOff>
    </xdr:from>
    <xdr:ext cx="9065773" cy="3517077"/>
    <xdr:graphicFrame macro="">
      <xdr:nvGraphicFramePr>
        <xdr:cNvPr id="11" name="Chart 1" title="Gráfico">
          <a:extLst>
            <a:ext uri="{FF2B5EF4-FFF2-40B4-BE49-F238E27FC236}">
              <a16:creationId xmlns:a16="http://schemas.microsoft.com/office/drawing/2014/main" id="{95800C0B-63BB-4CCE-8E91-0B6CEE56E99A}"/>
            </a:ext>
            <a:ext uri="{147F2762-F138-4A5C-976F-8EAC2B608ADB}">
              <a16:predDERef xmlns:a16="http://schemas.microsoft.com/office/drawing/2014/main" pred="{A863362B-9393-4FA6-9D4B-8E868EDA0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2</xdr:col>
      <xdr:colOff>326185</xdr:colOff>
      <xdr:row>112</xdr:row>
      <xdr:rowOff>38100</xdr:rowOff>
    </xdr:from>
    <xdr:to>
      <xdr:col>8</xdr:col>
      <xdr:colOff>448733</xdr:colOff>
      <xdr:row>113</xdr:row>
      <xdr:rowOff>143828</xdr:rowOff>
    </xdr:to>
    <xdr:sp macro="" textlink="">
      <xdr:nvSpPr>
        <xdr:cNvPr id="16" name="CuadroTexto 5">
          <a:extLst>
            <a:ext uri="{FF2B5EF4-FFF2-40B4-BE49-F238E27FC236}">
              <a16:creationId xmlns:a16="http://schemas.microsoft.com/office/drawing/2014/main" id="{EA1708B9-D1FD-4074-B506-112999C638D1}"/>
            </a:ext>
            <a:ext uri="{147F2762-F138-4A5C-976F-8EAC2B608ADB}">
              <a16:predDERef xmlns:a16="http://schemas.microsoft.com/office/drawing/2014/main" pred="{95800C0B-63BB-4CCE-8E91-0B6CEE56E99A}"/>
            </a:ext>
          </a:extLst>
        </xdr:cNvPr>
        <xdr:cNvSpPr txBox="1"/>
      </xdr:nvSpPr>
      <xdr:spPr>
        <a:xfrm>
          <a:off x="2745535" y="17145000"/>
          <a:ext cx="4294498" cy="2581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REQ012 -EMISION DE NOTA DE VENTA</a:t>
          </a:r>
        </a:p>
      </xdr:txBody>
    </xdr:sp>
    <xdr:clientData/>
  </xdr:twoCellAnchor>
  <xdr:oneCellAnchor>
    <xdr:from>
      <xdr:col>1</xdr:col>
      <xdr:colOff>0</xdr:colOff>
      <xdr:row>147</xdr:row>
      <xdr:rowOff>40869</xdr:rowOff>
    </xdr:from>
    <xdr:ext cx="9065773" cy="3517077"/>
    <xdr:graphicFrame macro="">
      <xdr:nvGraphicFramePr>
        <xdr:cNvPr id="13" name="Chart 1" title="Gráfico">
          <a:extLst>
            <a:ext uri="{FF2B5EF4-FFF2-40B4-BE49-F238E27FC236}">
              <a16:creationId xmlns:a16="http://schemas.microsoft.com/office/drawing/2014/main" id="{7E9EBD4D-9B02-4C11-B365-30BC9A79618A}"/>
            </a:ext>
            <a:ext uri="{147F2762-F138-4A5C-976F-8EAC2B608ADB}">
              <a16:predDERef xmlns:a16="http://schemas.microsoft.com/office/drawing/2014/main" pred="{EA1708B9-D1FD-4074-B506-112999C63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3</xdr:col>
      <xdr:colOff>116635</xdr:colOff>
      <xdr:row>147</xdr:row>
      <xdr:rowOff>9525</xdr:rowOff>
    </xdr:from>
    <xdr:to>
      <xdr:col>8</xdr:col>
      <xdr:colOff>858308</xdr:colOff>
      <xdr:row>148</xdr:row>
      <xdr:rowOff>115253</xdr:rowOff>
    </xdr:to>
    <xdr:sp macro="" textlink="">
      <xdr:nvSpPr>
        <xdr:cNvPr id="17" name="CuadroTexto 5">
          <a:extLst>
            <a:ext uri="{FF2B5EF4-FFF2-40B4-BE49-F238E27FC236}">
              <a16:creationId xmlns:a16="http://schemas.microsoft.com/office/drawing/2014/main" id="{D389A369-8355-4D5D-BA85-B2F00F04EC34}"/>
            </a:ext>
            <a:ext uri="{147F2762-F138-4A5C-976F-8EAC2B608ADB}">
              <a16:predDERef xmlns:a16="http://schemas.microsoft.com/office/drawing/2014/main" pred="{7E9EBD4D-9B02-4C11-B365-30BC9A79618A}"/>
            </a:ext>
          </a:extLst>
        </xdr:cNvPr>
        <xdr:cNvSpPr txBox="1"/>
      </xdr:nvSpPr>
      <xdr:spPr>
        <a:xfrm>
          <a:off x="3231310" y="24784050"/>
          <a:ext cx="4380223" cy="267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="1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REQ013 -EXPORTACION DE REPORTES EN EXCEL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5"/>
  <sheetViews>
    <sheetView tabSelected="1" zoomScale="146" zoomScaleNormal="85" workbookViewId="0">
      <selection activeCell="A3" sqref="A3"/>
    </sheetView>
  </sheetViews>
  <sheetFormatPr baseColWidth="10" defaultColWidth="12.54296875" defaultRowHeight="15" customHeight="1" x14ac:dyDescent="0.25"/>
  <cols>
    <col min="1" max="1" width="12.54296875" customWidth="1"/>
    <col min="2" max="2" width="34.81640625" bestFit="1" customWidth="1"/>
    <col min="3" max="3" width="19.7265625" customWidth="1"/>
    <col min="4" max="4" width="65" customWidth="1"/>
    <col min="5" max="5" width="45.54296875" customWidth="1"/>
    <col min="6" max="6" width="12.54296875" customWidth="1"/>
  </cols>
  <sheetData>
    <row r="1" spans="1:9" ht="15.75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9" ht="20.149999999999999" customHeight="1" x14ac:dyDescent="0.25">
      <c r="A2" s="17" t="s">
        <v>12</v>
      </c>
      <c r="B2" s="20" t="s">
        <v>13</v>
      </c>
      <c r="C2" s="17" t="s">
        <v>8</v>
      </c>
      <c r="D2" s="20" t="s">
        <v>14</v>
      </c>
      <c r="E2" s="20" t="s">
        <v>15</v>
      </c>
      <c r="F2" s="21"/>
      <c r="G2" s="20" t="s">
        <v>10</v>
      </c>
      <c r="H2" s="17" t="s">
        <v>11</v>
      </c>
      <c r="I2" s="1"/>
    </row>
    <row r="3" spans="1:9" ht="20.149999999999999" customHeight="1" x14ac:dyDescent="0.25">
      <c r="A3" s="17" t="s">
        <v>16</v>
      </c>
      <c r="B3" s="18" t="s">
        <v>17</v>
      </c>
      <c r="C3" s="17" t="s">
        <v>8</v>
      </c>
      <c r="D3" s="17" t="s">
        <v>18</v>
      </c>
      <c r="E3" s="17" t="s">
        <v>19</v>
      </c>
      <c r="F3" s="19" t="s">
        <v>9</v>
      </c>
      <c r="G3" s="17" t="s">
        <v>10</v>
      </c>
      <c r="H3" s="17" t="s">
        <v>11</v>
      </c>
      <c r="I3" s="1"/>
    </row>
    <row r="4" spans="1:9" ht="20.149999999999999" customHeight="1" x14ac:dyDescent="0.25">
      <c r="A4" s="17" t="s">
        <v>20</v>
      </c>
      <c r="B4" s="17" t="s">
        <v>21</v>
      </c>
      <c r="C4" s="17" t="s">
        <v>8</v>
      </c>
      <c r="D4" s="17" t="s">
        <v>22</v>
      </c>
      <c r="E4" s="17" t="s">
        <v>23</v>
      </c>
      <c r="F4" s="19" t="s">
        <v>9</v>
      </c>
      <c r="G4" s="17" t="s">
        <v>10</v>
      </c>
      <c r="H4" s="17" t="s">
        <v>11</v>
      </c>
      <c r="I4" s="1"/>
    </row>
    <row r="5" spans="1:9" ht="20.149999999999999" customHeight="1" x14ac:dyDescent="0.25">
      <c r="A5" s="17" t="s">
        <v>24</v>
      </c>
      <c r="B5" s="17" t="s">
        <v>25</v>
      </c>
      <c r="C5" s="17" t="s">
        <v>8</v>
      </c>
      <c r="D5" s="17" t="s">
        <v>26</v>
      </c>
      <c r="E5" s="17" t="s">
        <v>27</v>
      </c>
      <c r="F5" s="19" t="s">
        <v>9</v>
      </c>
      <c r="G5" s="17" t="s">
        <v>10</v>
      </c>
      <c r="H5" s="17" t="s">
        <v>11</v>
      </c>
      <c r="I5" s="1"/>
    </row>
    <row r="6" spans="1:9" ht="20.149999999999999" customHeight="1" x14ac:dyDescent="0.25"/>
    <row r="7" spans="1:9" ht="20.149999999999999" customHeight="1" x14ac:dyDescent="0.25">
      <c r="I7" s="1"/>
    </row>
    <row r="8" spans="1:9" ht="20.149999999999999" customHeight="1" x14ac:dyDescent="0.25"/>
    <row r="9" spans="1:9" ht="20.149999999999999" customHeight="1" x14ac:dyDescent="0.25">
      <c r="I9" s="1"/>
    </row>
    <row r="10" spans="1:9" ht="20.149999999999999" customHeight="1" x14ac:dyDescent="0.25">
      <c r="I10" s="1"/>
    </row>
    <row r="11" spans="1:9" ht="20.149999999999999" customHeight="1" x14ac:dyDescent="0.25">
      <c r="I11" s="1"/>
    </row>
    <row r="12" spans="1:9" ht="15.75" customHeight="1" x14ac:dyDescent="0.25">
      <c r="I12" s="1"/>
    </row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5D33-6ECB-4CC2-A090-B89BF97B7A9B}">
  <sheetPr>
    <outlinePr summaryBelow="0" summaryRight="0"/>
  </sheetPr>
  <dimension ref="A1:I958"/>
  <sheetViews>
    <sheetView topLeftCell="A2" zoomScaleNormal="90" workbookViewId="0">
      <selection activeCell="B24" sqref="B24"/>
    </sheetView>
  </sheetViews>
  <sheetFormatPr baseColWidth="10" defaultColWidth="12.54296875" defaultRowHeight="15" customHeight="1" x14ac:dyDescent="0.25"/>
  <cols>
    <col min="1" max="1" width="12.54296875" style="2" customWidth="1"/>
    <col min="2" max="2" width="41.453125" style="2" customWidth="1"/>
    <col min="3" max="3" width="69.453125" style="2" customWidth="1"/>
    <col min="4" max="4" width="28.54296875" style="2" customWidth="1"/>
    <col min="5" max="5" width="52.1796875" style="2" customWidth="1"/>
    <col min="6" max="6" width="56.1796875" style="2" customWidth="1"/>
    <col min="7" max="7" width="29" style="2" bestFit="1" customWidth="1"/>
    <col min="8" max="16384" width="12.54296875" style="2"/>
  </cols>
  <sheetData>
    <row r="1" spans="1:9" ht="23.25" customHeight="1" x14ac:dyDescent="0.25"/>
    <row r="2" spans="1:9" ht="32.25" customHeight="1" x14ac:dyDescent="0.25">
      <c r="A2" s="6" t="s">
        <v>40</v>
      </c>
      <c r="B2" s="37" t="s">
        <v>41</v>
      </c>
      <c r="C2" s="38"/>
      <c r="D2" s="38"/>
      <c r="E2" s="38"/>
      <c r="F2" s="38"/>
      <c r="G2" s="38"/>
      <c r="H2" s="38"/>
      <c r="I2" s="39"/>
    </row>
    <row r="3" spans="1:9" ht="15.75" customHeight="1" x14ac:dyDescent="0.3">
      <c r="B3" s="3" t="s">
        <v>0</v>
      </c>
      <c r="C3" s="3" t="s">
        <v>1</v>
      </c>
      <c r="D3" s="3" t="s">
        <v>2</v>
      </c>
      <c r="E3" s="3" t="s">
        <v>28</v>
      </c>
      <c r="F3" s="3" t="s">
        <v>29</v>
      </c>
      <c r="G3" s="3" t="s">
        <v>5</v>
      </c>
      <c r="H3" s="3" t="s">
        <v>30</v>
      </c>
      <c r="I3" s="3" t="s">
        <v>31</v>
      </c>
    </row>
    <row r="4" spans="1:9" ht="35.25" customHeight="1" x14ac:dyDescent="0.25">
      <c r="B4" s="10" t="s">
        <v>12</v>
      </c>
      <c r="C4" s="25" t="s">
        <v>13</v>
      </c>
      <c r="D4" s="10" t="s">
        <v>32</v>
      </c>
      <c r="E4" s="11" t="s">
        <v>14</v>
      </c>
      <c r="F4" s="12" t="s">
        <v>15</v>
      </c>
      <c r="G4" s="10" t="s">
        <v>33</v>
      </c>
      <c r="H4" s="10" t="s">
        <v>10</v>
      </c>
      <c r="I4" s="7" t="s">
        <v>42</v>
      </c>
    </row>
    <row r="5" spans="1:9" ht="15.75" customHeight="1" x14ac:dyDescent="0.3">
      <c r="B5" s="8"/>
      <c r="C5" s="13" t="s">
        <v>34</v>
      </c>
      <c r="D5" s="8"/>
      <c r="E5" s="8"/>
      <c r="F5" s="8"/>
      <c r="G5" s="24" t="s">
        <v>35</v>
      </c>
      <c r="H5" s="8"/>
      <c r="I5" s="8"/>
    </row>
    <row r="6" spans="1:9" ht="15.75" customHeight="1" x14ac:dyDescent="0.25">
      <c r="B6" s="15" t="s">
        <v>43</v>
      </c>
      <c r="C6" s="8" t="s">
        <v>44</v>
      </c>
      <c r="D6" s="8"/>
      <c r="E6" s="8"/>
      <c r="F6" s="8"/>
      <c r="G6" s="14" t="s">
        <v>38</v>
      </c>
      <c r="H6" s="8"/>
      <c r="I6" s="8">
        <v>0</v>
      </c>
    </row>
    <row r="7" spans="1:9" ht="15.75" customHeight="1" x14ac:dyDescent="0.25">
      <c r="B7" s="15" t="s">
        <v>45</v>
      </c>
      <c r="C7" s="8" t="s">
        <v>46</v>
      </c>
      <c r="D7" s="8"/>
      <c r="E7" s="8"/>
      <c r="F7" s="8"/>
      <c r="G7" s="14" t="s">
        <v>38</v>
      </c>
      <c r="H7" s="8"/>
      <c r="I7" s="26">
        <v>0</v>
      </c>
    </row>
    <row r="8" spans="1:9" ht="15.75" customHeight="1" x14ac:dyDescent="0.25">
      <c r="B8" s="15" t="s">
        <v>47</v>
      </c>
      <c r="C8" t="s">
        <v>48</v>
      </c>
      <c r="D8" s="8"/>
      <c r="E8" s="8"/>
      <c r="F8" s="8"/>
      <c r="G8" s="14" t="s">
        <v>38</v>
      </c>
      <c r="H8" s="8"/>
      <c r="I8" s="8">
        <v>0</v>
      </c>
    </row>
    <row r="9" spans="1:9" ht="15.75" customHeight="1" x14ac:dyDescent="0.25">
      <c r="B9" s="15" t="s">
        <v>49</v>
      </c>
      <c r="C9" s="8" t="s">
        <v>50</v>
      </c>
      <c r="D9" s="8"/>
      <c r="E9" s="8"/>
      <c r="F9" s="8"/>
      <c r="G9" s="14" t="s">
        <v>38</v>
      </c>
      <c r="H9" s="8"/>
      <c r="I9" s="8">
        <v>0</v>
      </c>
    </row>
    <row r="10" spans="1:9" ht="15.75" customHeight="1" x14ac:dyDescent="0.25">
      <c r="B10" s="15" t="s">
        <v>51</v>
      </c>
      <c r="C10" s="8" t="s">
        <v>52</v>
      </c>
      <c r="D10" s="8"/>
      <c r="E10" s="8"/>
      <c r="F10" s="8"/>
      <c r="G10" s="14" t="s">
        <v>38</v>
      </c>
      <c r="H10" s="8"/>
      <c r="I10" s="8">
        <v>0</v>
      </c>
    </row>
    <row r="11" spans="1:9" ht="27" customHeight="1" x14ac:dyDescent="0.25">
      <c r="B11" s="10" t="s">
        <v>16</v>
      </c>
      <c r="C11" s="10" t="s">
        <v>53</v>
      </c>
      <c r="D11" s="10" t="s">
        <v>32</v>
      </c>
      <c r="E11" s="11" t="s">
        <v>18</v>
      </c>
      <c r="F11" s="12" t="s">
        <v>19</v>
      </c>
      <c r="G11" s="10" t="s">
        <v>33</v>
      </c>
      <c r="H11" s="10" t="s">
        <v>10</v>
      </c>
      <c r="I11" s="10" t="s">
        <v>42</v>
      </c>
    </row>
    <row r="12" spans="1:9" ht="15.75" customHeight="1" x14ac:dyDescent="0.3">
      <c r="B12" s="8"/>
      <c r="C12" s="13" t="s">
        <v>34</v>
      </c>
      <c r="D12" s="8"/>
      <c r="E12" s="8"/>
      <c r="F12" s="8"/>
      <c r="G12" s="13" t="s">
        <v>35</v>
      </c>
      <c r="H12" s="8"/>
      <c r="I12" s="8"/>
    </row>
    <row r="13" spans="1:9" ht="15.75" customHeight="1" x14ac:dyDescent="0.25">
      <c r="B13" s="9" t="s">
        <v>54</v>
      </c>
      <c r="C13" s="26" t="s">
        <v>55</v>
      </c>
      <c r="D13" s="8"/>
      <c r="E13" s="8"/>
      <c r="F13" s="8"/>
      <c r="G13" s="4" t="s">
        <v>39</v>
      </c>
      <c r="H13" s="8"/>
      <c r="I13" s="8">
        <v>2</v>
      </c>
    </row>
    <row r="14" spans="1:9" ht="15.75" customHeight="1" x14ac:dyDescent="0.25">
      <c r="B14" s="9" t="s">
        <v>56</v>
      </c>
      <c r="C14" s="26" t="s">
        <v>57</v>
      </c>
      <c r="D14" s="8"/>
      <c r="E14" s="8"/>
      <c r="F14" s="8"/>
      <c r="G14" s="4" t="s">
        <v>39</v>
      </c>
      <c r="H14" s="8"/>
      <c r="I14" s="8">
        <v>1</v>
      </c>
    </row>
    <row r="15" spans="1:9" ht="15" customHeight="1" x14ac:dyDescent="0.25">
      <c r="B15" s="9" t="s">
        <v>58</v>
      </c>
      <c r="C15" s="26" t="s">
        <v>59</v>
      </c>
      <c r="D15" s="8"/>
      <c r="E15" s="8"/>
      <c r="F15" s="8"/>
      <c r="G15" s="4" t="s">
        <v>39</v>
      </c>
      <c r="H15" s="8"/>
      <c r="I15" s="8">
        <v>1</v>
      </c>
    </row>
    <row r="16" spans="1:9" ht="14.25" customHeight="1" x14ac:dyDescent="0.25">
      <c r="B16" s="9" t="s">
        <v>60</v>
      </c>
      <c r="C16" s="26" t="s">
        <v>61</v>
      </c>
      <c r="D16" s="8"/>
      <c r="E16" s="8"/>
      <c r="F16" s="8"/>
      <c r="G16" s="5" t="s">
        <v>39</v>
      </c>
      <c r="H16" s="8"/>
      <c r="I16" s="8">
        <v>1</v>
      </c>
    </row>
    <row r="17" spans="2:9" ht="23.25" customHeight="1" x14ac:dyDescent="0.25">
      <c r="B17" s="9" t="s">
        <v>62</v>
      </c>
      <c r="C17" s="26" t="s">
        <v>63</v>
      </c>
      <c r="D17" s="8"/>
      <c r="E17" s="8"/>
      <c r="F17" s="8"/>
      <c r="G17" s="5" t="s">
        <v>39</v>
      </c>
      <c r="H17" s="8"/>
      <c r="I17" s="34">
        <v>1</v>
      </c>
    </row>
    <row r="18" spans="2:9" ht="15.75" customHeight="1" x14ac:dyDescent="0.25">
      <c r="B18" s="10" t="s">
        <v>20</v>
      </c>
      <c r="C18" s="10" t="s">
        <v>21</v>
      </c>
      <c r="D18" s="10" t="s">
        <v>32</v>
      </c>
      <c r="E18" s="11" t="s">
        <v>22</v>
      </c>
      <c r="F18" s="12" t="s">
        <v>23</v>
      </c>
      <c r="G18" s="10" t="s">
        <v>33</v>
      </c>
      <c r="H18" s="10" t="s">
        <v>10</v>
      </c>
      <c r="I18" s="7" t="s">
        <v>11</v>
      </c>
    </row>
    <row r="19" spans="2:9" ht="15.75" customHeight="1" x14ac:dyDescent="0.3">
      <c r="B19" s="8"/>
      <c r="C19" s="13" t="s">
        <v>34</v>
      </c>
      <c r="D19" s="8"/>
      <c r="E19" s="8"/>
      <c r="F19" s="8"/>
      <c r="G19" s="13" t="s">
        <v>35</v>
      </c>
      <c r="H19" s="8"/>
      <c r="I19" s="8"/>
    </row>
    <row r="20" spans="2:9" ht="15.75" customHeight="1" x14ac:dyDescent="0.25">
      <c r="B20" s="9" t="s">
        <v>64</v>
      </c>
      <c r="C20" s="26" t="s">
        <v>65</v>
      </c>
      <c r="D20" s="8"/>
      <c r="E20" s="8"/>
      <c r="F20" s="8"/>
      <c r="G20" s="8" t="s">
        <v>37</v>
      </c>
      <c r="H20" s="8"/>
      <c r="I20" s="8">
        <v>1</v>
      </c>
    </row>
    <row r="21" spans="2:9" ht="15.75" customHeight="1" x14ac:dyDescent="0.25">
      <c r="B21" s="9" t="s">
        <v>66</v>
      </c>
      <c r="C21" s="26" t="s">
        <v>67</v>
      </c>
      <c r="D21" s="8"/>
      <c r="E21" s="8"/>
      <c r="F21" s="8"/>
      <c r="G21" s="8" t="s">
        <v>37</v>
      </c>
      <c r="H21" s="8"/>
      <c r="I21" s="8">
        <v>1</v>
      </c>
    </row>
    <row r="22" spans="2:9" ht="18" customHeight="1" x14ac:dyDescent="0.25">
      <c r="B22" s="9" t="s">
        <v>68</v>
      </c>
      <c r="C22" s="26" t="s">
        <v>69</v>
      </c>
      <c r="D22" s="8"/>
      <c r="E22" s="8"/>
      <c r="F22" s="8"/>
      <c r="G22" s="8" t="s">
        <v>37</v>
      </c>
      <c r="H22" s="8"/>
      <c r="I22" s="8">
        <v>1.5</v>
      </c>
    </row>
    <row r="23" spans="2:9" ht="30" customHeight="1" x14ac:dyDescent="0.25">
      <c r="B23" s="9" t="s">
        <v>70</v>
      </c>
      <c r="C23" s="26" t="s">
        <v>71</v>
      </c>
      <c r="D23" s="8"/>
      <c r="E23" s="8"/>
      <c r="F23" s="8"/>
      <c r="G23" s="8" t="s">
        <v>37</v>
      </c>
      <c r="H23" s="8"/>
      <c r="I23" s="8">
        <v>1</v>
      </c>
    </row>
    <row r="24" spans="2:9" ht="15.75" customHeight="1" x14ac:dyDescent="0.25">
      <c r="B24" s="10" t="s">
        <v>24</v>
      </c>
      <c r="C24" s="10" t="s">
        <v>25</v>
      </c>
      <c r="D24" s="10" t="s">
        <v>32</v>
      </c>
      <c r="E24" s="11" t="s">
        <v>26</v>
      </c>
      <c r="F24" s="12" t="s">
        <v>27</v>
      </c>
      <c r="G24" s="10" t="s">
        <v>33</v>
      </c>
      <c r="H24" s="10" t="s">
        <v>10</v>
      </c>
      <c r="I24" s="7" t="s">
        <v>11</v>
      </c>
    </row>
    <row r="25" spans="2:9" ht="15.75" customHeight="1" x14ac:dyDescent="0.3">
      <c r="B25" s="8"/>
      <c r="C25" s="13" t="s">
        <v>34</v>
      </c>
      <c r="D25" s="8"/>
      <c r="E25" s="8"/>
      <c r="F25" s="8"/>
      <c r="G25" s="13" t="s">
        <v>35</v>
      </c>
      <c r="H25" s="8"/>
      <c r="I25" s="8"/>
    </row>
    <row r="26" spans="2:9" ht="15.75" customHeight="1" x14ac:dyDescent="0.25">
      <c r="B26" s="9" t="s">
        <v>64</v>
      </c>
      <c r="C26" s="26" t="s">
        <v>72</v>
      </c>
      <c r="D26" s="8"/>
      <c r="E26" s="8"/>
      <c r="F26" s="8"/>
      <c r="G26" s="8" t="s">
        <v>37</v>
      </c>
      <c r="H26" s="8"/>
      <c r="I26" s="8">
        <v>1</v>
      </c>
    </row>
    <row r="27" spans="2:9" ht="15.75" customHeight="1" x14ac:dyDescent="0.25">
      <c r="B27" s="9" t="s">
        <v>73</v>
      </c>
      <c r="C27" s="26" t="s">
        <v>74</v>
      </c>
      <c r="D27" s="8"/>
      <c r="E27" s="8"/>
      <c r="F27" s="8"/>
      <c r="G27" s="8" t="s">
        <v>37</v>
      </c>
      <c r="H27" s="8"/>
      <c r="I27" s="8">
        <v>1</v>
      </c>
    </row>
    <row r="28" spans="2:9" ht="14.25" customHeight="1" x14ac:dyDescent="0.25">
      <c r="B28" s="9" t="s">
        <v>75</v>
      </c>
      <c r="C28" s="26" t="s">
        <v>76</v>
      </c>
      <c r="D28" s="8"/>
      <c r="E28" s="8"/>
      <c r="F28" s="8"/>
      <c r="G28" s="8" t="s">
        <v>37</v>
      </c>
      <c r="H28" s="8"/>
      <c r="I28" s="26">
        <v>0.5</v>
      </c>
    </row>
    <row r="29" spans="2:9" ht="15.75" customHeight="1" x14ac:dyDescent="0.25">
      <c r="B29" s="9" t="s">
        <v>77</v>
      </c>
      <c r="C29" s="27" t="s">
        <v>78</v>
      </c>
      <c r="D29" s="8"/>
      <c r="E29" s="8"/>
      <c r="F29" s="8"/>
      <c r="G29" s="8" t="s">
        <v>37</v>
      </c>
      <c r="H29" s="8"/>
      <c r="I29" s="8">
        <v>2</v>
      </c>
    </row>
    <row r="30" spans="2:9" ht="15.75" customHeight="1" x14ac:dyDescent="0.25"/>
    <row r="31" spans="2:9" ht="15.75" customHeight="1" x14ac:dyDescent="0.25"/>
    <row r="32" spans="2:9" ht="15.75" customHeight="1" x14ac:dyDescent="0.25"/>
    <row r="33" ht="20.25" customHeight="1" x14ac:dyDescent="0.25"/>
    <row r="34" ht="18.75" customHeight="1" x14ac:dyDescent="0.25"/>
    <row r="35" ht="18" customHeight="1" x14ac:dyDescent="0.25"/>
    <row r="36" ht="33.75" customHeight="1" x14ac:dyDescent="0.25"/>
    <row r="37" ht="24" customHeight="1" x14ac:dyDescent="0.25"/>
    <row r="38" ht="15.75" customHeight="1" x14ac:dyDescent="0.25"/>
    <row r="39" ht="15.75" customHeight="1" x14ac:dyDescent="0.25"/>
    <row r="40" ht="15.65" customHeight="1" x14ac:dyDescent="0.25"/>
    <row r="41" ht="15.75" customHeight="1" x14ac:dyDescent="0.25"/>
    <row r="42" ht="26.5" customHeight="1" x14ac:dyDescent="0.25"/>
    <row r="43" ht="19.5" customHeight="1" x14ac:dyDescent="0.25"/>
    <row r="44" ht="19.5" customHeight="1" x14ac:dyDescent="0.25"/>
    <row r="45" ht="18" customHeight="1" x14ac:dyDescent="0.25"/>
    <row r="46" ht="23.25" customHeight="1" x14ac:dyDescent="0.25"/>
    <row r="47" ht="30" customHeight="1" x14ac:dyDescent="0.25"/>
    <row r="48" ht="16.899999999999999" customHeight="1" x14ac:dyDescent="0.25"/>
    <row r="49" ht="15.75" customHeight="1" x14ac:dyDescent="0.25"/>
    <row r="50" ht="15.75" customHeight="1" x14ac:dyDescent="0.25"/>
    <row r="51" ht="22.9" customHeight="1" x14ac:dyDescent="0.25"/>
    <row r="52" ht="23.15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26.15" hidden="1" customHeight="1" x14ac:dyDescent="0.25"/>
    <row r="57" ht="16.5" hidden="1" customHeight="1" x14ac:dyDescent="0.25"/>
    <row r="58" ht="16.5" hidden="1" customHeight="1" x14ac:dyDescent="0.25"/>
    <row r="59" ht="12.65" customHeight="1" x14ac:dyDescent="0.25"/>
    <row r="60" ht="24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30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24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35.2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24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2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</sheetData>
  <mergeCells count="1">
    <mergeCell ref="B2:I2"/>
  </mergeCells>
  <phoneticPr fontId="10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4FAA-B743-4D25-B7F5-2F06CCD5F531}">
  <dimension ref="B5:K146"/>
  <sheetViews>
    <sheetView topLeftCell="A173" workbookViewId="0">
      <selection activeCell="M194" sqref="M194"/>
    </sheetView>
  </sheetViews>
  <sheetFormatPr baseColWidth="10" defaultColWidth="11.453125" defaultRowHeight="12.5" x14ac:dyDescent="0.25"/>
  <cols>
    <col min="2" max="2" width="24.81640625" customWidth="1"/>
    <col min="3" max="4" width="8.81640625" bestFit="1" customWidth="1"/>
    <col min="8" max="8" width="10.54296875" customWidth="1"/>
    <col min="9" max="9" width="15.26953125" customWidth="1"/>
    <col min="10" max="10" width="10.7265625" customWidth="1"/>
    <col min="11" max="11" width="20.1796875" customWidth="1"/>
  </cols>
  <sheetData>
    <row r="5" spans="2:11" x14ac:dyDescent="0.25">
      <c r="B5" s="36" t="s">
        <v>89</v>
      </c>
      <c r="C5" s="36"/>
      <c r="D5" s="36"/>
      <c r="E5" s="36"/>
      <c r="F5" s="36"/>
      <c r="G5" s="36"/>
      <c r="H5" s="36"/>
      <c r="I5" s="36"/>
      <c r="J5" s="36"/>
      <c r="K5" s="36"/>
    </row>
    <row r="6" spans="2:11" x14ac:dyDescent="0.25">
      <c r="B6" s="22"/>
      <c r="C6" s="22" t="s">
        <v>36</v>
      </c>
      <c r="D6" s="22" t="s">
        <v>79</v>
      </c>
      <c r="E6" s="22" t="s">
        <v>80</v>
      </c>
      <c r="F6" s="22" t="s">
        <v>81</v>
      </c>
      <c r="G6" s="22" t="s">
        <v>82</v>
      </c>
      <c r="H6" s="22" t="s">
        <v>83</v>
      </c>
      <c r="I6" s="22" t="s">
        <v>84</v>
      </c>
      <c r="J6" s="22" t="s">
        <v>85</v>
      </c>
      <c r="K6" s="22" t="s">
        <v>86</v>
      </c>
    </row>
    <row r="7" spans="2:11" x14ac:dyDescent="0.25">
      <c r="B7" s="29" t="s">
        <v>43</v>
      </c>
      <c r="C7" s="30">
        <v>1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1</v>
      </c>
      <c r="K7" s="28">
        <f>SUM(D7:J7)</f>
        <v>1</v>
      </c>
    </row>
    <row r="8" spans="2:11" x14ac:dyDescent="0.25">
      <c r="B8" s="29" t="s">
        <v>45</v>
      </c>
      <c r="C8" s="30">
        <v>3</v>
      </c>
      <c r="D8" s="29">
        <v>0</v>
      </c>
      <c r="E8" s="29">
        <v>0</v>
      </c>
      <c r="F8" s="29">
        <v>0</v>
      </c>
      <c r="G8" s="29">
        <v>1</v>
      </c>
      <c r="H8" s="29">
        <v>1</v>
      </c>
      <c r="I8" s="29">
        <v>1</v>
      </c>
      <c r="J8" s="29">
        <v>0</v>
      </c>
      <c r="K8" s="28">
        <f>SUM(D8:J8)</f>
        <v>3</v>
      </c>
    </row>
    <row r="9" spans="2:11" x14ac:dyDescent="0.25">
      <c r="B9" s="29" t="s">
        <v>47</v>
      </c>
      <c r="C9" s="30">
        <v>4</v>
      </c>
      <c r="D9" s="29">
        <v>1</v>
      </c>
      <c r="E9" s="29">
        <v>2</v>
      </c>
      <c r="F9" s="29">
        <v>1</v>
      </c>
      <c r="G9" s="29">
        <v>1</v>
      </c>
      <c r="H9" s="29">
        <v>0</v>
      </c>
      <c r="I9" s="29">
        <v>0</v>
      </c>
      <c r="J9" s="29">
        <v>0</v>
      </c>
      <c r="K9" s="28">
        <f>SUM(D9:J9)</f>
        <v>5</v>
      </c>
    </row>
    <row r="10" spans="2:11" x14ac:dyDescent="0.25">
      <c r="B10" s="29" t="s">
        <v>49</v>
      </c>
      <c r="C10" s="30">
        <v>3</v>
      </c>
      <c r="D10" s="29">
        <v>2</v>
      </c>
      <c r="E10" s="29">
        <v>0</v>
      </c>
      <c r="F10" s="29">
        <v>0</v>
      </c>
      <c r="G10" s="29">
        <v>1</v>
      </c>
      <c r="H10" s="29">
        <v>0</v>
      </c>
      <c r="I10" s="29">
        <v>1</v>
      </c>
      <c r="J10" s="29">
        <v>0</v>
      </c>
      <c r="K10" s="28">
        <f>SUM(D10:J10)</f>
        <v>4</v>
      </c>
    </row>
    <row r="11" spans="2:11" x14ac:dyDescent="0.25">
      <c r="B11" s="29" t="s">
        <v>51</v>
      </c>
      <c r="C11" s="30">
        <v>0.5</v>
      </c>
      <c r="D11" s="31">
        <v>0.5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8">
        <f>SUM(D11:J11)</f>
        <v>0.5</v>
      </c>
    </row>
    <row r="12" spans="2:11" x14ac:dyDescent="0.25">
      <c r="B12" s="23" t="s">
        <v>87</v>
      </c>
      <c r="C12" s="22">
        <f t="shared" ref="C12:J12" si="0">SUM(C7:C11)</f>
        <v>11.5</v>
      </c>
      <c r="D12" s="22">
        <f t="shared" si="0"/>
        <v>3.5</v>
      </c>
      <c r="E12" s="22">
        <f t="shared" si="0"/>
        <v>2</v>
      </c>
      <c r="F12" s="22">
        <f t="shared" si="0"/>
        <v>1</v>
      </c>
      <c r="G12" s="22">
        <f t="shared" si="0"/>
        <v>3</v>
      </c>
      <c r="H12" s="22">
        <f t="shared" si="0"/>
        <v>1</v>
      </c>
      <c r="I12" s="22">
        <f t="shared" si="0"/>
        <v>2</v>
      </c>
      <c r="J12" s="22">
        <f t="shared" si="0"/>
        <v>1</v>
      </c>
      <c r="K12" s="32"/>
    </row>
    <row r="13" spans="2:11" x14ac:dyDescent="0.25">
      <c r="B13" s="23" t="s">
        <v>88</v>
      </c>
      <c r="C13" s="22">
        <f>SUM(C7:C11)</f>
        <v>11.5</v>
      </c>
      <c r="D13" s="22">
        <f>C13-(SUM(C7:C11)/7)</f>
        <v>9.8571428571428577</v>
      </c>
      <c r="E13" s="22">
        <f>D13-(SUM(C7:C11)/7)</f>
        <v>8.2142857142857153</v>
      </c>
      <c r="F13" s="22">
        <f>E13-(SUM(C7:C11)/7)</f>
        <v>6.571428571428573</v>
      </c>
      <c r="G13" s="22">
        <f>F13-(SUM(C7:C11)/7)</f>
        <v>4.9285714285714306</v>
      </c>
      <c r="H13" s="22">
        <f>G13-(SUM(C7:C11)/7)</f>
        <v>3.2857142857142878</v>
      </c>
      <c r="I13" s="22">
        <f>H13-(SUM(C7:C11)/7)</f>
        <v>1.642857142857145</v>
      </c>
      <c r="J13" s="22">
        <f>I13-(SUM(C7:C11)/7)</f>
        <v>2.2204460492503131E-15</v>
      </c>
      <c r="K13" s="32"/>
    </row>
    <row r="14" spans="2:11" x14ac:dyDescent="0.25"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spans="2:11" x14ac:dyDescent="0.25"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2:11" x14ac:dyDescent="0.25"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2:11" x14ac:dyDescent="0.25"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 spans="2:11" x14ac:dyDescent="0.25"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2:11" x14ac:dyDescent="0.25"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2:11" x14ac:dyDescent="0.25"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2:11" x14ac:dyDescent="0.25"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2:11" x14ac:dyDescent="0.25">
      <c r="B22" s="35"/>
      <c r="C22" s="35"/>
      <c r="D22" s="35"/>
      <c r="E22" s="35"/>
      <c r="F22" s="33"/>
      <c r="G22" s="33"/>
      <c r="H22" s="33"/>
      <c r="I22" s="33"/>
      <c r="J22" s="33"/>
      <c r="K22" s="33"/>
    </row>
    <row r="23" spans="2:11" x14ac:dyDescent="0.25">
      <c r="B23" s="35"/>
      <c r="C23" s="35"/>
      <c r="D23" s="35"/>
      <c r="E23" s="35"/>
      <c r="F23" s="33"/>
      <c r="G23" s="33"/>
      <c r="H23" s="33"/>
      <c r="I23" s="33"/>
      <c r="J23" s="33"/>
      <c r="K23" s="33"/>
    </row>
    <row r="24" spans="2:11" x14ac:dyDescent="0.25">
      <c r="B24" s="35"/>
      <c r="C24" s="35"/>
      <c r="D24" s="35"/>
      <c r="E24" s="35"/>
      <c r="F24" s="33"/>
      <c r="G24" s="33"/>
      <c r="H24" s="33"/>
      <c r="I24" s="33"/>
      <c r="J24" s="33"/>
      <c r="K24" s="33"/>
    </row>
    <row r="25" spans="2:11" x14ac:dyDescent="0.25">
      <c r="B25" s="35"/>
      <c r="C25" s="35"/>
      <c r="D25" s="35"/>
      <c r="E25" s="35"/>
      <c r="F25" s="33"/>
      <c r="G25" s="33"/>
      <c r="H25" s="33"/>
      <c r="I25" s="33"/>
      <c r="J25" s="33"/>
      <c r="K25" s="33"/>
    </row>
    <row r="26" spans="2:11" x14ac:dyDescent="0.25">
      <c r="B26" s="35"/>
      <c r="C26" s="35"/>
      <c r="D26" s="35"/>
      <c r="E26" s="35"/>
      <c r="F26" s="33"/>
      <c r="G26" s="33"/>
      <c r="H26" s="33"/>
      <c r="I26" s="33"/>
      <c r="J26" s="33"/>
      <c r="K26" s="33"/>
    </row>
    <row r="27" spans="2:11" x14ac:dyDescent="0.25">
      <c r="B27" s="35"/>
      <c r="C27" s="35"/>
      <c r="D27" s="35"/>
      <c r="E27" s="35"/>
      <c r="F27" s="33"/>
      <c r="G27" s="33"/>
      <c r="H27" s="33"/>
      <c r="I27" s="33"/>
      <c r="J27" s="33"/>
      <c r="K27" s="33"/>
    </row>
    <row r="28" spans="2:11" x14ac:dyDescent="0.25">
      <c r="B28" s="35"/>
      <c r="C28" s="35"/>
      <c r="D28" s="35"/>
      <c r="E28" s="35"/>
      <c r="F28" s="33"/>
      <c r="G28" s="33"/>
      <c r="H28" s="33"/>
      <c r="I28" s="33"/>
      <c r="J28" s="33"/>
      <c r="K28" s="33"/>
    </row>
    <row r="29" spans="2:11" x14ac:dyDescent="0.25">
      <c r="B29" s="35"/>
      <c r="C29" s="35"/>
      <c r="D29" s="35"/>
      <c r="E29" s="35"/>
      <c r="F29" s="33"/>
      <c r="G29" s="33"/>
      <c r="H29" s="33"/>
      <c r="I29" s="33"/>
      <c r="J29" s="33"/>
      <c r="K29" s="33"/>
    </row>
    <row r="30" spans="2:11" x14ac:dyDescent="0.25">
      <c r="B30" s="35"/>
      <c r="C30" s="35"/>
      <c r="D30" s="35"/>
      <c r="E30" s="35"/>
      <c r="F30" s="33"/>
      <c r="G30" s="33"/>
      <c r="H30" s="33"/>
      <c r="I30" s="33"/>
      <c r="J30" s="33"/>
      <c r="K30" s="33"/>
    </row>
    <row r="31" spans="2:11" x14ac:dyDescent="0.25">
      <c r="B31" s="35"/>
      <c r="C31" s="35"/>
      <c r="D31" s="35"/>
      <c r="E31" s="35"/>
      <c r="F31" s="33"/>
      <c r="G31" s="33"/>
      <c r="H31" s="33"/>
      <c r="I31" s="33"/>
      <c r="J31" s="33"/>
      <c r="K31" s="33"/>
    </row>
    <row r="32" spans="2:11" x14ac:dyDescent="0.25">
      <c r="B32" s="35"/>
      <c r="C32" s="35"/>
      <c r="D32" s="35"/>
      <c r="E32" s="35"/>
      <c r="F32" s="33"/>
      <c r="G32" s="33"/>
      <c r="H32" s="33"/>
      <c r="I32" s="33"/>
      <c r="J32" s="33"/>
      <c r="K32" s="33"/>
    </row>
    <row r="33" spans="2:11" x14ac:dyDescent="0.25"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42" spans="2:11" x14ac:dyDescent="0.25">
      <c r="B42" s="36" t="s">
        <v>90</v>
      </c>
      <c r="C42" s="36"/>
      <c r="D42" s="36"/>
      <c r="E42" s="36"/>
      <c r="F42" s="36"/>
      <c r="G42" s="36"/>
      <c r="H42" s="36"/>
      <c r="I42" s="36"/>
      <c r="J42" s="36"/>
      <c r="K42" s="36"/>
    </row>
    <row r="43" spans="2:11" x14ac:dyDescent="0.25">
      <c r="B43" s="22"/>
      <c r="C43" s="22" t="s">
        <v>36</v>
      </c>
      <c r="D43" s="22" t="s">
        <v>79</v>
      </c>
      <c r="E43" s="22" t="s">
        <v>80</v>
      </c>
      <c r="F43" s="22" t="s">
        <v>81</v>
      </c>
      <c r="G43" s="22" t="s">
        <v>82</v>
      </c>
      <c r="H43" s="22" t="s">
        <v>83</v>
      </c>
      <c r="I43" s="22" t="s">
        <v>84</v>
      </c>
      <c r="J43" s="22" t="s">
        <v>85</v>
      </c>
      <c r="K43" s="22" t="s">
        <v>86</v>
      </c>
    </row>
    <row r="44" spans="2:11" x14ac:dyDescent="0.25">
      <c r="B44" s="29" t="s">
        <v>54</v>
      </c>
      <c r="C44" s="30">
        <v>2</v>
      </c>
      <c r="D44" s="29">
        <v>0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29">
        <v>2</v>
      </c>
      <c r="K44" s="28">
        <f>SUM(D44:J44)</f>
        <v>2</v>
      </c>
    </row>
    <row r="45" spans="2:11" x14ac:dyDescent="0.25">
      <c r="B45" s="29" t="s">
        <v>56</v>
      </c>
      <c r="C45" s="30">
        <v>1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29">
        <v>1</v>
      </c>
      <c r="J45" s="29">
        <v>0</v>
      </c>
      <c r="K45" s="28">
        <f>SUM(D45:J45)</f>
        <v>1</v>
      </c>
    </row>
    <row r="46" spans="2:11" x14ac:dyDescent="0.25">
      <c r="B46" s="29" t="s">
        <v>58</v>
      </c>
      <c r="C46" s="30">
        <v>1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29">
        <v>1</v>
      </c>
      <c r="J46" s="29">
        <v>0</v>
      </c>
      <c r="K46" s="28">
        <f>SUM(D46:J46)</f>
        <v>1</v>
      </c>
    </row>
    <row r="47" spans="2:11" x14ac:dyDescent="0.25">
      <c r="B47" s="29" t="s">
        <v>60</v>
      </c>
      <c r="C47" s="30">
        <v>1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1</v>
      </c>
      <c r="J47" s="29">
        <v>0</v>
      </c>
      <c r="K47" s="28">
        <f>SUM(D47:J47)</f>
        <v>1</v>
      </c>
    </row>
    <row r="48" spans="2:11" x14ac:dyDescent="0.25">
      <c r="B48" s="29" t="s">
        <v>62</v>
      </c>
      <c r="C48" s="30">
        <v>1</v>
      </c>
      <c r="D48" s="29">
        <v>0</v>
      </c>
      <c r="E48" s="29">
        <v>0</v>
      </c>
      <c r="F48" s="29">
        <v>0</v>
      </c>
      <c r="G48" s="29">
        <v>0</v>
      </c>
      <c r="H48" s="29">
        <v>1</v>
      </c>
      <c r="I48" s="29">
        <v>0</v>
      </c>
      <c r="J48" s="29">
        <v>0</v>
      </c>
      <c r="K48" s="28">
        <f t="shared" ref="K48:K49" si="1">SUM(D48:J48)</f>
        <v>1</v>
      </c>
    </row>
    <row r="49" spans="2:11" x14ac:dyDescent="0.25">
      <c r="B49" s="23" t="s">
        <v>87</v>
      </c>
      <c r="C49" s="22">
        <f t="shared" ref="C49:J49" si="2">SUM(C44:C48)</f>
        <v>6</v>
      </c>
      <c r="D49" s="22">
        <f t="shared" si="2"/>
        <v>0</v>
      </c>
      <c r="E49" s="22">
        <f t="shared" si="2"/>
        <v>0</v>
      </c>
      <c r="F49" s="22">
        <f t="shared" si="2"/>
        <v>0</v>
      </c>
      <c r="G49" s="22">
        <f t="shared" si="2"/>
        <v>0</v>
      </c>
      <c r="H49" s="22">
        <f t="shared" si="2"/>
        <v>1</v>
      </c>
      <c r="I49" s="22">
        <f t="shared" si="2"/>
        <v>3</v>
      </c>
      <c r="J49" s="22">
        <f t="shared" si="2"/>
        <v>2</v>
      </c>
      <c r="K49" s="28">
        <f t="shared" si="1"/>
        <v>6</v>
      </c>
    </row>
    <row r="50" spans="2:11" x14ac:dyDescent="0.25">
      <c r="B50" s="23" t="s">
        <v>88</v>
      </c>
      <c r="C50" s="22">
        <f>SUM(C44:C48)</f>
        <v>6</v>
      </c>
      <c r="D50" s="22">
        <f>C50-(SUM(C44:C48)/7)</f>
        <v>5.1428571428571432</v>
      </c>
      <c r="E50" s="22">
        <f>D50-(SUM(C44:C48)/7)</f>
        <v>4.2857142857142865</v>
      </c>
      <c r="F50" s="22">
        <f>E50-(SUM(C44:C48)/7)</f>
        <v>3.4285714285714293</v>
      </c>
      <c r="G50" s="22">
        <f>F50-(SUM(C44:C48)/7)</f>
        <v>2.5714285714285721</v>
      </c>
      <c r="H50" s="22">
        <f>G50-(SUM(C44:C48)/7)</f>
        <v>1.7142857142857149</v>
      </c>
      <c r="I50" s="22">
        <f>H50-(SUM(C44:C48)/7)</f>
        <v>0.85714285714285776</v>
      </c>
      <c r="J50" s="22">
        <f>I50-(SUM(C44:C48)/7)</f>
        <v>0</v>
      </c>
      <c r="K50" s="32"/>
    </row>
    <row r="104" spans="2:11" x14ac:dyDescent="0.25">
      <c r="B104" s="36" t="s">
        <v>91</v>
      </c>
      <c r="C104" s="36"/>
      <c r="D104" s="36"/>
      <c r="E104" s="36"/>
      <c r="F104" s="36"/>
      <c r="G104" s="36"/>
      <c r="H104" s="36"/>
      <c r="I104" s="36"/>
      <c r="J104" s="36"/>
      <c r="K104" s="36"/>
    </row>
    <row r="105" spans="2:11" x14ac:dyDescent="0.25">
      <c r="B105" s="22"/>
      <c r="C105" s="22" t="s">
        <v>36</v>
      </c>
      <c r="D105" s="22" t="s">
        <v>79</v>
      </c>
      <c r="E105" s="22" t="s">
        <v>80</v>
      </c>
      <c r="F105" s="22" t="s">
        <v>81</v>
      </c>
      <c r="G105" s="22" t="s">
        <v>82</v>
      </c>
      <c r="H105" s="22" t="s">
        <v>83</v>
      </c>
      <c r="I105" s="22" t="s">
        <v>84</v>
      </c>
      <c r="J105" s="22" t="s">
        <v>85</v>
      </c>
      <c r="K105" s="22" t="s">
        <v>86</v>
      </c>
    </row>
    <row r="106" spans="2:11" x14ac:dyDescent="0.25">
      <c r="B106" s="29" t="s">
        <v>92</v>
      </c>
      <c r="C106" s="23">
        <v>1</v>
      </c>
      <c r="D106" s="29">
        <v>0</v>
      </c>
      <c r="E106" s="29">
        <v>0</v>
      </c>
      <c r="F106" s="29">
        <v>0</v>
      </c>
      <c r="G106" s="29">
        <v>0</v>
      </c>
      <c r="H106" s="29">
        <v>0.35</v>
      </c>
      <c r="I106" s="29">
        <v>0.25</v>
      </c>
      <c r="J106" s="29">
        <v>0.5</v>
      </c>
      <c r="K106" s="28">
        <f>SUM(D106:J106)</f>
        <v>1.1000000000000001</v>
      </c>
    </row>
    <row r="107" spans="2:11" x14ac:dyDescent="0.25">
      <c r="B107" s="29" t="s">
        <v>66</v>
      </c>
      <c r="C107" s="23">
        <v>1</v>
      </c>
      <c r="D107" s="29">
        <v>0</v>
      </c>
      <c r="E107" s="29">
        <v>0</v>
      </c>
      <c r="F107" s="29">
        <v>0</v>
      </c>
      <c r="G107" s="29">
        <v>0.25</v>
      </c>
      <c r="H107" s="29">
        <v>0.75</v>
      </c>
      <c r="I107" s="29">
        <v>0</v>
      </c>
      <c r="J107" s="29">
        <v>0</v>
      </c>
      <c r="K107" s="28">
        <f>SUM(D107:J107)</f>
        <v>1</v>
      </c>
    </row>
    <row r="108" spans="2:11" x14ac:dyDescent="0.25">
      <c r="B108" s="29" t="s">
        <v>68</v>
      </c>
      <c r="C108" s="23">
        <v>1.5</v>
      </c>
      <c r="D108" s="29">
        <v>0</v>
      </c>
      <c r="E108" s="29">
        <v>0.75</v>
      </c>
      <c r="F108" s="29">
        <v>0.5</v>
      </c>
      <c r="G108" s="29">
        <v>0.5</v>
      </c>
      <c r="H108" s="29">
        <v>0</v>
      </c>
      <c r="I108" s="29">
        <v>0</v>
      </c>
      <c r="J108" s="29">
        <v>0</v>
      </c>
      <c r="K108" s="28">
        <f>SUM(D108:J108)</f>
        <v>1.75</v>
      </c>
    </row>
    <row r="109" spans="2:11" x14ac:dyDescent="0.25">
      <c r="B109" s="29" t="s">
        <v>70</v>
      </c>
      <c r="C109" s="23">
        <v>1</v>
      </c>
      <c r="D109" s="29">
        <v>1</v>
      </c>
      <c r="E109" s="29">
        <v>0.25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8">
        <f>SUM(D109:J109)</f>
        <v>1.25</v>
      </c>
    </row>
    <row r="110" spans="2:11" x14ac:dyDescent="0.25">
      <c r="B110" s="23" t="s">
        <v>87</v>
      </c>
      <c r="C110" s="22">
        <f t="shared" ref="C110:J110" si="3">SUM(C106:C108)</f>
        <v>3.5</v>
      </c>
      <c r="D110" s="22">
        <f t="shared" si="3"/>
        <v>0</v>
      </c>
      <c r="E110" s="22">
        <f t="shared" si="3"/>
        <v>0.75</v>
      </c>
      <c r="F110" s="22">
        <f t="shared" si="3"/>
        <v>0.5</v>
      </c>
      <c r="G110" s="22">
        <f t="shared" si="3"/>
        <v>0.75</v>
      </c>
      <c r="H110" s="22">
        <f t="shared" si="3"/>
        <v>1.1000000000000001</v>
      </c>
      <c r="I110" s="22">
        <f t="shared" si="3"/>
        <v>0.25</v>
      </c>
      <c r="J110" s="22">
        <f t="shared" si="3"/>
        <v>0.5</v>
      </c>
      <c r="K110" s="32"/>
    </row>
    <row r="111" spans="2:11" x14ac:dyDescent="0.25">
      <c r="B111" s="23" t="s">
        <v>88</v>
      </c>
      <c r="C111" s="22">
        <f>SUM(C106:C108)</f>
        <v>3.5</v>
      </c>
      <c r="D111" s="22">
        <f>C111-(SUM(C106:C108)/7)</f>
        <v>3</v>
      </c>
      <c r="E111" s="22">
        <f>D111-(SUM(C106:C108)/7)</f>
        <v>2.5</v>
      </c>
      <c r="F111" s="22">
        <f>E111-(SUM(C106:C108)/7)</f>
        <v>2</v>
      </c>
      <c r="G111" s="22">
        <f>F111-(SUM(C106:C108)/7)</f>
        <v>1.5</v>
      </c>
      <c r="H111" s="22">
        <f>G111-(SUM(C106:C108)/7)</f>
        <v>1</v>
      </c>
      <c r="I111" s="22">
        <f>H111-(SUM(C106:C108)/7)</f>
        <v>0.5</v>
      </c>
      <c r="J111" s="22">
        <f>I111-(SUM(C106:C108)/7)</f>
        <v>0</v>
      </c>
      <c r="K111" s="32"/>
    </row>
    <row r="139" spans="2:11" x14ac:dyDescent="0.25">
      <c r="B139" s="36" t="s">
        <v>93</v>
      </c>
      <c r="C139" s="36"/>
      <c r="D139" s="36"/>
      <c r="E139" s="36"/>
      <c r="F139" s="36"/>
      <c r="G139" s="36"/>
      <c r="H139" s="36"/>
      <c r="I139" s="36"/>
      <c r="J139" s="36"/>
      <c r="K139" s="36"/>
    </row>
    <row r="140" spans="2:11" x14ac:dyDescent="0.25">
      <c r="B140" s="22"/>
      <c r="C140" s="22" t="s">
        <v>36</v>
      </c>
      <c r="D140" s="22" t="s">
        <v>79</v>
      </c>
      <c r="E140" s="22" t="s">
        <v>80</v>
      </c>
      <c r="F140" s="22" t="s">
        <v>81</v>
      </c>
      <c r="G140" s="22" t="s">
        <v>82</v>
      </c>
      <c r="H140" s="22" t="s">
        <v>83</v>
      </c>
      <c r="I140" s="22" t="s">
        <v>84</v>
      </c>
      <c r="J140" s="22" t="s">
        <v>85</v>
      </c>
      <c r="K140" s="22" t="s">
        <v>86</v>
      </c>
    </row>
    <row r="141" spans="2:11" x14ac:dyDescent="0.25">
      <c r="B141" s="29" t="s">
        <v>64</v>
      </c>
      <c r="C141" s="23">
        <v>1</v>
      </c>
      <c r="D141" s="29">
        <v>0</v>
      </c>
      <c r="E141" s="29">
        <v>0</v>
      </c>
      <c r="F141" s="29">
        <v>0</v>
      </c>
      <c r="G141" s="29">
        <v>0</v>
      </c>
      <c r="H141" s="29">
        <v>0</v>
      </c>
      <c r="I141" s="29">
        <v>0.5</v>
      </c>
      <c r="J141" s="29">
        <v>0.5</v>
      </c>
      <c r="K141" s="28">
        <f>SUM(D141:J141)</f>
        <v>1</v>
      </c>
    </row>
    <row r="142" spans="2:11" x14ac:dyDescent="0.25">
      <c r="B142" s="29" t="s">
        <v>73</v>
      </c>
      <c r="C142" s="23">
        <v>1</v>
      </c>
      <c r="D142" s="29">
        <v>0</v>
      </c>
      <c r="E142" s="29">
        <v>0</v>
      </c>
      <c r="F142" s="29">
        <v>0</v>
      </c>
      <c r="G142" s="29">
        <v>0.55000000000000004</v>
      </c>
      <c r="H142" s="29">
        <v>0.5</v>
      </c>
      <c r="I142" s="29">
        <v>0</v>
      </c>
      <c r="J142" s="29">
        <v>0</v>
      </c>
      <c r="K142" s="28">
        <f>SUM(D142:J142)</f>
        <v>1.05</v>
      </c>
    </row>
    <row r="143" spans="2:11" x14ac:dyDescent="0.25">
      <c r="B143" s="29" t="s">
        <v>75</v>
      </c>
      <c r="C143" s="23">
        <v>0.5</v>
      </c>
      <c r="D143" s="29">
        <v>0</v>
      </c>
      <c r="E143" s="29">
        <v>0</v>
      </c>
      <c r="F143" s="29">
        <v>0.5</v>
      </c>
      <c r="G143" s="29">
        <v>0</v>
      </c>
      <c r="H143" s="29">
        <v>0</v>
      </c>
      <c r="I143" s="29">
        <v>0</v>
      </c>
      <c r="J143" s="29">
        <v>0</v>
      </c>
      <c r="K143" s="28">
        <f>SUM(D143:J143)</f>
        <v>0.5</v>
      </c>
    </row>
    <row r="144" spans="2:11" x14ac:dyDescent="0.25">
      <c r="B144" s="29" t="s">
        <v>77</v>
      </c>
      <c r="C144" s="23">
        <v>2</v>
      </c>
      <c r="D144" s="29">
        <v>1.5</v>
      </c>
      <c r="E144" s="29">
        <v>1</v>
      </c>
      <c r="F144" s="29">
        <v>0</v>
      </c>
      <c r="G144" s="29">
        <v>0</v>
      </c>
      <c r="H144" s="29">
        <v>0</v>
      </c>
      <c r="I144" s="29">
        <v>0</v>
      </c>
      <c r="J144" s="29">
        <v>0</v>
      </c>
      <c r="K144" s="28">
        <f>SUM(D144:J144)</f>
        <v>2.5</v>
      </c>
    </row>
    <row r="145" spans="2:11" x14ac:dyDescent="0.25">
      <c r="B145" s="23" t="s">
        <v>87</v>
      </c>
      <c r="C145" s="22">
        <f t="shared" ref="C145:J145" si="4">SUM(C141:C143)</f>
        <v>2.5</v>
      </c>
      <c r="D145" s="22">
        <f t="shared" si="4"/>
        <v>0</v>
      </c>
      <c r="E145" s="22">
        <f t="shared" si="4"/>
        <v>0</v>
      </c>
      <c r="F145" s="22">
        <f t="shared" si="4"/>
        <v>0.5</v>
      </c>
      <c r="G145" s="22">
        <f t="shared" si="4"/>
        <v>0.55000000000000004</v>
      </c>
      <c r="H145" s="22">
        <f t="shared" si="4"/>
        <v>0.5</v>
      </c>
      <c r="I145" s="22">
        <f t="shared" si="4"/>
        <v>0.5</v>
      </c>
      <c r="J145" s="22">
        <f t="shared" si="4"/>
        <v>0.5</v>
      </c>
      <c r="K145" s="32"/>
    </row>
    <row r="146" spans="2:11" x14ac:dyDescent="0.25">
      <c r="B146" s="23" t="s">
        <v>88</v>
      </c>
      <c r="C146" s="22">
        <f>SUM(C141:C143)</f>
        <v>2.5</v>
      </c>
      <c r="D146" s="22">
        <f>C146-(SUM(C141:C143)/7)</f>
        <v>2.1428571428571428</v>
      </c>
      <c r="E146" s="22">
        <f>D146-(SUM(C141:C143)/7)</f>
        <v>1.7857142857142856</v>
      </c>
      <c r="F146" s="22">
        <f>E146-(SUM(C141:C143)/7)</f>
        <v>1.4285714285714284</v>
      </c>
      <c r="G146" s="22">
        <f>F146-(SUM(C141:C143)/7)</f>
        <v>1.0714285714285712</v>
      </c>
      <c r="H146" s="22">
        <f>G146-(SUM(C141:C143)/7)</f>
        <v>0.71428571428571397</v>
      </c>
      <c r="I146" s="22">
        <f>H146-(SUM(C141:C143)/7)</f>
        <v>0.35714285714285682</v>
      </c>
      <c r="J146" s="22">
        <f>I146-(SUM(C141:C143)/7)</f>
        <v>0</v>
      </c>
      <c r="K146" s="32"/>
    </row>
  </sheetData>
  <mergeCells count="5">
    <mergeCell ref="B139:K139"/>
    <mergeCell ref="B5:K5"/>
    <mergeCell ref="B22:E32"/>
    <mergeCell ref="B42:K42"/>
    <mergeCell ref="B104:K10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97100502FEFD4C891B0A1FD3F42BFE" ma:contentTypeVersion="6" ma:contentTypeDescription="Crear nuevo documento." ma:contentTypeScope="" ma:versionID="f54b88654a1fab2e9b388da4570d1358">
  <xsd:schema xmlns:xsd="http://www.w3.org/2001/XMLSchema" xmlns:xs="http://www.w3.org/2001/XMLSchema" xmlns:p="http://schemas.microsoft.com/office/2006/metadata/properties" xmlns:ns3="ce9ddb34-41ff-484e-bc06-3da676159bd7" targetNamespace="http://schemas.microsoft.com/office/2006/metadata/properties" ma:root="true" ma:fieldsID="f4ec76f31255b15a09b8398554e72220" ns3:_="">
    <xsd:import namespace="ce9ddb34-41ff-484e-bc06-3da676159bd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ddb34-41ff-484e-bc06-3da676159bd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9ddb34-41ff-484e-bc06-3da676159bd7" xsi:nil="true"/>
  </documentManagement>
</p:properties>
</file>

<file path=customXml/itemProps1.xml><?xml version="1.0" encoding="utf-8"?>
<ds:datastoreItem xmlns:ds="http://schemas.openxmlformats.org/officeDocument/2006/customXml" ds:itemID="{0073A36B-C018-492F-903E-9EF463272C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B9AFB-86D5-4F77-9A34-5827DA6B7F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9ddb34-41ff-484e-bc06-3da676159b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698563-C61F-49F8-82C4-FFA212132BF8}">
  <ds:schemaRefs>
    <ds:schemaRef ds:uri="http://schemas.microsoft.com/office/2006/metadata/properties"/>
    <ds:schemaRef ds:uri="http://schemas.microsoft.com/office/infopath/2007/PartnerControls"/>
    <ds:schemaRef ds:uri="ce9ddb34-41ff-484e-bc06-3da676159b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Sprints</vt:lpstr>
      <vt:lpstr>burdochart-3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Joao Maldonado</cp:lastModifiedBy>
  <cp:revision/>
  <dcterms:created xsi:type="dcterms:W3CDTF">2023-01-13T00:08:30Z</dcterms:created>
  <dcterms:modified xsi:type="dcterms:W3CDTF">2026-07-15T04:30:25Z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0x010100FE97100502FEFD4C891B0A1FD3F42BFE</vt:lpwstr>
  </property>
</Properties>
</file>