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B987D23-1AF1-4CB3-BDA9-9CD3F2E695D0}" xr6:coauthVersionLast="47" xr6:coauthVersionMax="47" xr10:uidLastSave="{00000000-0000-0000-0000-000000000000}"/>
  <bookViews>
    <workbookView xWindow="-120" yWindow="-120" windowWidth="20730" windowHeight="11040" activeTab="1" xr2:uid="{C5413FAC-9C6B-4760-8357-F7CB7D0290F5}"/>
  </bookViews>
  <sheets>
    <sheet name="Backlog" sheetId="2" r:id="rId1"/>
    <sheet name="Sprint1" sheetId="3" r:id="rId2"/>
    <sheet name="burdonchart - 1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0" i="4" l="1"/>
  <c r="E40" i="4" s="1"/>
  <c r="F40" i="4" s="1"/>
  <c r="G40" i="4" s="1"/>
  <c r="H40" i="4" s="1"/>
  <c r="I40" i="4" s="1"/>
  <c r="J40" i="4" s="1"/>
  <c r="C40" i="4"/>
  <c r="J39" i="4"/>
  <c r="I39" i="4"/>
  <c r="H39" i="4"/>
  <c r="G39" i="4"/>
  <c r="F39" i="4"/>
  <c r="E39" i="4"/>
  <c r="D39" i="4"/>
  <c r="C39" i="4"/>
  <c r="C12" i="4"/>
  <c r="D12" i="4" s="1"/>
  <c r="E12" i="4" s="1"/>
  <c r="F12" i="4" s="1"/>
  <c r="G12" i="4" s="1"/>
  <c r="H12" i="4" s="1"/>
  <c r="I12" i="4" s="1"/>
  <c r="J12" i="4" s="1"/>
  <c r="J11" i="4"/>
  <c r="I11" i="4"/>
  <c r="H11" i="4"/>
  <c r="G11" i="4"/>
  <c r="F11" i="4"/>
  <c r="E11" i="4"/>
  <c r="D11" i="4"/>
  <c r="C11" i="4"/>
  <c r="K10" i="4"/>
  <c r="K9" i="4"/>
  <c r="K8" i="4"/>
  <c r="K7" i="4"/>
  <c r="K6" i="4"/>
</calcChain>
</file>

<file path=xl/sharedStrings.xml><?xml version="1.0" encoding="utf-8"?>
<sst xmlns="http://schemas.openxmlformats.org/spreadsheetml/2006/main" count="249" uniqueCount="114">
  <si>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</si>
  <si>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</si>
  <si>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</si>
  <si>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</si>
  <si>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</si>
  <si>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</si>
  <si>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</si>
  <si>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</si>
  <si>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</si>
  <si>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</si>
  <si>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</si>
  <si>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Un menú  intuitivo que permita acceder rápidamente a cada módulo del sistema</t>
  </si>
  <si>
    <t>Acceder de forma eficiente entre los modulos del sistema</t>
  </si>
  <si>
    <t>-</t>
  </si>
  <si>
    <t>Alta</t>
  </si>
  <si>
    <t xml:space="preserve">En ejecucion </t>
  </si>
  <si>
    <t>REQ002</t>
  </si>
  <si>
    <t>Registro de Productos</t>
  </si>
  <si>
    <t>Ingresar productos diferenciando claramente sus variantes de tamaño, empaque y precio</t>
  </si>
  <si>
    <t>Tomar pedidos con mayor rapidez y mantener un control preciso del inventario</t>
  </si>
  <si>
    <t>REQ003</t>
  </si>
  <si>
    <t xml:space="preserve">Gestion de Productos </t>
  </si>
  <si>
    <t>Modificar los datos de los productos ingresados</t>
  </si>
  <si>
    <t>Mantener la información actualizada para evitar fallos en disponibilidad de productos</t>
  </si>
  <si>
    <t>REQ004</t>
  </si>
  <si>
    <t>Registro de Clientes</t>
  </si>
  <si>
    <t>Ingresar la informacion necesaria de cada cliente (Cedula, Nombre,etc)</t>
  </si>
  <si>
    <t>Identificar correctamente a los compradores y su zonas de entregas</t>
  </si>
  <si>
    <t>REQ005</t>
  </si>
  <si>
    <t>Actualización de información de clientes</t>
  </si>
  <si>
    <t xml:space="preserve">Modificar los datos de los clientes registrados </t>
  </si>
  <si>
    <t>Mantener la información actualizada para evitar fallos en contacto o entrega</t>
  </si>
  <si>
    <t>SPRINT 1</t>
  </si>
  <si>
    <t>Navegacion ,Registro y Gestion de Productos y Logica de Clientes</t>
  </si>
  <si>
    <t>Necesito</t>
  </si>
  <si>
    <t>así podre...</t>
  </si>
  <si>
    <t>Prioridad</t>
  </si>
  <si>
    <t>Status</t>
  </si>
  <si>
    <t>Navegacion por el  Sistema</t>
  </si>
  <si>
    <t>Administrador del Sistema</t>
  </si>
  <si>
    <t>Ingresar a gestionar y usar las opciones del aplicativo</t>
  </si>
  <si>
    <t>#intentos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</si>
  <si>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</si>
  <si>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</si>
  <si>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</si>
  <si>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</si>
  <si>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</si>
  <si>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</si>
  <si>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</si>
  <si>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</si>
  <si>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</si>
  <si>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</si>
  <si>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</si>
  <si>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</si>
  <si>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</si>
  <si>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</si>
  <si>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REQ002-1</t>
  </si>
  <si>
    <t xml:space="preserve">Diseñar clase Producto </t>
  </si>
  <si>
    <t>Johan Catota</t>
  </si>
  <si>
    <t>REQ002-2</t>
  </si>
  <si>
    <t>Implementar registros de productos</t>
  </si>
  <si>
    <t>REQ002-3</t>
  </si>
  <si>
    <t>Programacion de Guardado</t>
  </si>
  <si>
    <t>REQ002-4</t>
  </si>
  <si>
    <t>Guardado de Catalogo Productos</t>
  </si>
  <si>
    <t>Gestion de Productos</t>
  </si>
  <si>
    <t>REQ003-1</t>
  </si>
  <si>
    <t>Implementar consulta de Producttos</t>
  </si>
  <si>
    <t>REQ003-2</t>
  </si>
  <si>
    <t xml:space="preserve">Implementar CRUD Producto </t>
  </si>
  <si>
    <t>REQ003-3</t>
  </si>
  <si>
    <t xml:space="preserve">Conexión a la Vista Principal </t>
  </si>
  <si>
    <t>REQ003-4</t>
  </si>
  <si>
    <t>Actualizacion de Tabla Productos</t>
  </si>
  <si>
    <t>Registro de Cliente</t>
  </si>
  <si>
    <t>Ingresar los informacion necesaria de cada cliente (Cedula, Nombre,etc)</t>
  </si>
  <si>
    <t>Identificar correctamente a los compradores y su zona de entregas</t>
  </si>
  <si>
    <t>Diseño de la interfaz para el registro y edición de datos del cliente.</t>
  </si>
  <si>
    <t>Eatan Ayala</t>
  </si>
  <si>
    <t xml:space="preserve">Aplicacion de la lógica de creación, modificación y eliminación de registros </t>
  </si>
  <si>
    <t>Integración del módulo de registros de clientes con otros módulos del sistema.</t>
  </si>
  <si>
    <t>Verificación y pruebas funcionales del proceso de registro de clientes.</t>
  </si>
  <si>
    <t>Actualizacion de informacion de Clientes</t>
  </si>
  <si>
    <t>REQ004-1</t>
  </si>
  <si>
    <t>Conexión de la GUI con los metodos para la modificacion</t>
  </si>
  <si>
    <t>REQ004-2</t>
  </si>
  <si>
    <t>Visualizacion y Relleno de Datos al ingresar ID en la GUI</t>
  </si>
  <si>
    <t>REQ004-3</t>
  </si>
  <si>
    <t>Bloquear Campo ID, y permitir modificacion de los otros datos</t>
  </si>
  <si>
    <t>REQ004-4</t>
  </si>
  <si>
    <t>Modificacion de la informacion en la base de datos</t>
  </si>
  <si>
    <t>SPRINT 1  - Navegacion, Registro de Productos y Logica Clientes</t>
  </si>
  <si>
    <t>REQ001 - NAVEGACIÓN POR EL SISTEMA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</si>
  <si>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</si>
  <si>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</si>
  <si>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</si>
  <si>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</si>
  <si>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</si>
  <si>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</si>
  <si>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</si>
  <si>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</si>
  <si>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</si>
  <si>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</si>
  <si>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REQ002 - REGISTRO DE PRODUCTOS</t>
  </si>
  <si>
    <t> </t>
  </si>
  <si>
    <t xml:space="preserve">Dia 7 </t>
  </si>
  <si>
    <t xml:space="preserve">Dia 6 </t>
  </si>
  <si>
    <t xml:space="preserve">Dia 5 </t>
  </si>
  <si>
    <t xml:space="preserve">Dia 4 </t>
  </si>
  <si>
    <t xml:space="preserve">Dia 3 </t>
  </si>
  <si>
    <t xml:space="preserve">Dia 2  </t>
  </si>
  <si>
    <t>REQ003 - REGISTRO DE CLIENTES</t>
  </si>
  <si>
    <t xml:space="preserve">REQ004-ACTUALIZACION DE INFORMACION DE CLIENTES </t>
  </si>
  <si>
    <t xml:space="preserve">Dia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</si>
</sst>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color rgb="FF000000"/>
      <name val="Calibri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</font>
    <font>
      <sz val="11"/>
      <color rgb="FF000000"/>
      <name val="Inconsolata"/>
    </font>
    <font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D966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1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" fillId="2" borderId="3" xfId="2" applyFill="1" applyBorder="1"/>
    <xf numFmtId="0" fontId="5" fillId="2" borderId="4" xfId="2" applyFont="1" applyFill="1" applyBorder="1" applyAlignment="1">
      <alignment horizontal="left" vertical="center" wrapText="1"/>
    </xf>
    <xf numFmtId="0" fontId="5" fillId="2" borderId="5" xfId="2" applyFont="1" applyFill="1" applyBorder="1" applyAlignment="1">
      <alignment horizontal="left" vertical="center" wrapText="1"/>
    </xf>
    <xf numFmtId="0" fontId="5" fillId="2" borderId="6" xfId="2" applyFont="1" applyFill="1" applyBorder="1" applyAlignment="1">
      <alignment horizontal="left" vertical="center" wrapText="1"/>
    </xf>
    <xf numFmtId="0" fontId="1" fillId="0" borderId="0" xfId="2"/>
    <xf numFmtId="0" fontId="2" fillId="0" borderId="3" xfId="2" applyFont="1" applyBorder="1" applyAlignment="1">
      <alignment horizontal="center"/>
    </xf>
    <xf numFmtId="0" fontId="6" fillId="3" borderId="3" xfId="2" applyFont="1" applyFill="1" applyBorder="1"/>
    <xf numFmtId="0" fontId="6" fillId="3" borderId="3" xfId="2" applyFont="1" applyFill="1" applyBorder="1" applyAlignment="1">
      <alignment horizontal="left" wrapText="1"/>
    </xf>
    <xf numFmtId="0" fontId="6" fillId="0" borderId="3" xfId="2" applyFont="1" applyBorder="1"/>
    <xf numFmtId="0" fontId="2" fillId="0" borderId="3" xfId="2" applyFont="1" applyBorder="1"/>
    <xf numFmtId="0" fontId="7" fillId="0" borderId="3" xfId="2" applyFont="1" applyBorder="1"/>
    <xf numFmtId="0" fontId="8" fillId="0" borderId="3" xfId="2" applyFont="1" applyBorder="1"/>
    <xf numFmtId="0" fontId="9" fillId="0" borderId="3" xfId="2" applyFont="1" applyBorder="1"/>
    <xf numFmtId="0" fontId="1" fillId="0" borderId="3" xfId="2" applyBorder="1"/>
    <xf numFmtId="0" fontId="7" fillId="0" borderId="3" xfId="2" applyFont="1" applyBorder="1" applyAlignment="1">
      <alignment horizontal="left" vertical="top"/>
    </xf>
    <xf numFmtId="0" fontId="6" fillId="0" borderId="3" xfId="2" applyFont="1" applyBorder="1" applyAlignment="1">
      <alignment horizontal="left"/>
    </xf>
    <xf numFmtId="0" fontId="6" fillId="3" borderId="3" xfId="2" applyFont="1" applyFill="1" applyBorder="1" applyAlignment="1">
      <alignment wrapText="1"/>
    </xf>
    <xf numFmtId="0" fontId="6" fillId="0" borderId="3" xfId="2" applyFont="1" applyBorder="1" applyAlignment="1">
      <alignment horizontal="left"/>
    </xf>
    <xf numFmtId="0" fontId="10" fillId="0" borderId="3" xfId="2" applyFont="1" applyBorder="1"/>
    <xf numFmtId="0" fontId="7" fillId="0" borderId="7" xfId="2" applyFont="1" applyBorder="1"/>
    <xf numFmtId="0" fontId="8" fillId="0" borderId="7" xfId="2" applyFont="1" applyBorder="1"/>
    <xf numFmtId="0" fontId="9" fillId="0" borderId="7" xfId="2" applyFont="1" applyBorder="1"/>
    <xf numFmtId="0" fontId="6" fillId="0" borderId="7" xfId="2" applyFont="1" applyBorder="1"/>
    <xf numFmtId="0" fontId="1" fillId="0" borderId="7" xfId="2" applyBorder="1"/>
    <xf numFmtId="0" fontId="0" fillId="0" borderId="0" xfId="2" applyFont="1" applyAlignment="1">
      <alignment horizontal="center"/>
    </xf>
    <xf numFmtId="0" fontId="1" fillId="0" borderId="2" xfId="2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6" fillId="0" borderId="0" xfId="2" applyFont="1"/>
    <xf numFmtId="0" fontId="1" fillId="0" borderId="2" xfId="2" applyBorder="1" applyAlignment="1">
      <alignment horizontal="center" vertical="center"/>
    </xf>
    <xf numFmtId="0" fontId="1" fillId="4" borderId="2" xfId="2" applyFill="1" applyBorder="1" applyAlignment="1">
      <alignment horizontal="center" vertical="center"/>
    </xf>
    <xf numFmtId="0" fontId="1" fillId="5" borderId="2" xfId="2" applyFill="1" applyBorder="1" applyAlignment="1">
      <alignment horizontal="center" vertical="center"/>
    </xf>
    <xf numFmtId="2" fontId="1" fillId="0" borderId="2" xfId="2" applyNumberFormat="1" applyBorder="1" applyAlignment="1">
      <alignment horizontal="center" vertical="center"/>
    </xf>
    <xf numFmtId="0" fontId="6" fillId="6" borderId="2" xfId="2" applyFont="1" applyFill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11" fillId="0" borderId="0" xfId="2" applyFont="1" applyAlignment="1">
      <alignment horizontal="left" vertical="center" wrapText="1"/>
    </xf>
    <xf numFmtId="0" fontId="1" fillId="0" borderId="2" xfId="2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4" fillId="9" borderId="10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6" borderId="2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11" fontId="12" fillId="0" borderId="2" xfId="0" applyNumberFormat="1" applyFont="1" applyBorder="1" applyAlignment="1">
      <alignment horizontal="center" vertical="center"/>
    </xf>
    <xf numFmtId="0" fontId="1" fillId="0" borderId="0" xfId="2" applyAlignment="1">
      <alignment wrapText="1"/>
    </xf>
    <xf numFmtId="0" fontId="0" fillId="0" borderId="2" xfId="2" applyFont="1" applyBorder="1" applyAlignment="1">
      <alignment horizontal="center"/>
    </xf>
    <xf numFmtId="0" fontId="13" fillId="8" borderId="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0" borderId="0" xfId="0" applyFont="1"/>
  </cellXfs>
  <cellStyles count="3">
    <cellStyle name="Normal" xfId="0" builtinId="0"/>
    <cellStyle name="Normal 2" xfId="2" xr:uid="{3F8C48EF-8710-42A4-AD99-68963B124E36}"/>
    <cellStyle name="Normal 3" xfId="1" xr:uid="{32600805-9191-4C4D-8CED-A1F204CE5D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'[1]burdonchart - 1'!$B$11:$J$11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E8-4942-BD8E-3CB6DBCFB91B}"/>
            </c:ext>
          </c:extLst>
        </c:ser>
        <c:ser>
          <c:idx val="1"/>
          <c:order val="1"/>
          <c:tx>
            <c:strRef>
              <c:f>'[1]burdonchart - 1'!$B$12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'[1]burdonchart - 1'!$B$12:$J$12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E8-4942-BD8E-3CB6DBCF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'[1]burdonchart - 1'!$C$39:$J$39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0D-4677-A592-26CE207237A8}"/>
            </c:ext>
          </c:extLst>
        </c:ser>
        <c:ser>
          <c:idx val="1"/>
          <c:order val="1"/>
          <c:tx>
            <c:strRef>
              <c:f>'[1]burdonchart - 1'!$B$40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'[1]burdonchart - 1'!$C$40:$J$40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 formatCode="0.00E+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0D-4677-A592-26CE207237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- 1'!$B$68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- 1'!$C$68:$J$68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2A-4A47-99A8-A0DC1B480C50}"/>
            </c:ext>
          </c:extLst>
        </c:ser>
        <c:ser>
          <c:idx val="1"/>
          <c:order val="1"/>
          <c:tx>
            <c:strRef>
              <c:f>'[1]burdonchart - 1'!$B$69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- 1'!$C$69:$J$69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2A-4A47-99A8-A0DC1B480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27066296497822"/>
          <c:y val="8.6611126227830668E-2"/>
          <c:w val="0.31106216756144234"/>
          <c:h val="0.12620110392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- 1'!$B$97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'[1]burdonchart - 1'!$C$97:$J$97</c:f>
              <c:numCache>
                <c:formatCode>General</c:formatCode>
                <c:ptCount val="8"/>
                <c:pt idx="0">
                  <c:v>11.5</c:v>
                </c:pt>
                <c:pt idx="1">
                  <c:v>4.5</c:v>
                </c:pt>
                <c:pt idx="2">
                  <c:v>2.5</c:v>
                </c:pt>
                <c:pt idx="3">
                  <c:v>-0.5</c:v>
                </c:pt>
                <c:pt idx="4">
                  <c:v>-1.5</c:v>
                </c:pt>
                <c:pt idx="5">
                  <c:v>-2</c:v>
                </c:pt>
                <c:pt idx="6">
                  <c:v>-2.5</c:v>
                </c:pt>
                <c:pt idx="7">
                  <c:v>-2.5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37-4BF8-9856-4D43A87DD0F8}"/>
            </c:ext>
          </c:extLst>
        </c:ser>
        <c:ser>
          <c:idx val="1"/>
          <c:order val="1"/>
          <c:tx>
            <c:strRef>
              <c:f>'[1]burdonchart - 1'!$B$98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'[1]burdonchart - 1'!$C$98:$J$98</c:f>
              <c:numCache>
                <c:formatCode>General</c:formatCode>
                <c:ptCount val="8"/>
                <c:pt idx="0">
                  <c:v>11.5</c:v>
                </c:pt>
                <c:pt idx="1">
                  <c:v>9.8571428569999995</c:v>
                </c:pt>
                <c:pt idx="2">
                  <c:v>8.2142857140000007</c:v>
                </c:pt>
                <c:pt idx="3">
                  <c:v>6.5714285710000002</c:v>
                </c:pt>
                <c:pt idx="4">
                  <c:v>4.9285714289999998</c:v>
                </c:pt>
                <c:pt idx="5">
                  <c:v>3.2857142860000002</c:v>
                </c:pt>
                <c:pt idx="6">
                  <c:v>1.6428571430000001</c:v>
                </c:pt>
                <c:pt idx="7" formatCode="0.00E+00">
                  <c:v>2.22045E-15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37-4BF8-9856-4D43A87DD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472186</xdr:colOff>
      <xdr:row>12</xdr:row>
      <xdr:rowOff>169811</xdr:rowOff>
    </xdr:from>
    <xdr:ext cx="6623939" cy="3144889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B9A2B49F-F87C-4065-BC89-3D22AF73E1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AD810CB-5480-4D7D-A029-0F06C425B2F6}"/>
            </a:ext>
          </a:extLst>
        </xdr:cNvPr>
        <xdr:cNvSpPr txBox="1"/>
      </xdr:nvSpPr>
      <xdr:spPr>
        <a:xfrm>
          <a:off x="2861454" y="2516542"/>
          <a:ext cx="5393871" cy="271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141113</xdr:rowOff>
    </xdr:from>
    <xdr:ext cx="6994445" cy="3040238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69237790-7307-4922-ADAC-EF8A1D758AE5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EB72A0C1-6580-4E99-B600-8B90720793E1}"/>
            </a:ext>
          </a:extLst>
        </xdr:cNvPr>
        <xdr:cNvSpPr txBox="1"/>
      </xdr:nvSpPr>
      <xdr:spPr>
        <a:xfrm>
          <a:off x="3097506" y="8634040"/>
          <a:ext cx="5393871" cy="275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1011296</xdr:colOff>
      <xdr:row>70</xdr:row>
      <xdr:rowOff>39198</xdr:rowOff>
    </xdr:from>
    <xdr:ext cx="6903979" cy="2980227"/>
    <xdr:graphicFrame macro="">
      <xdr:nvGraphicFramePr>
        <xdr:cNvPr id="6" name="Chart 1" title="Gráfico">
          <a:extLst>
            <a:ext uri="{FF2B5EF4-FFF2-40B4-BE49-F238E27FC236}">
              <a16:creationId xmlns:a16="http://schemas.microsoft.com/office/drawing/2014/main" id="{142643AE-D4BD-4BAA-A864-DC9AC1982B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846666</xdr:colOff>
      <xdr:row>70</xdr:row>
      <xdr:rowOff>54876</xdr:rowOff>
    </xdr:from>
    <xdr:to>
      <xdr:col>8</xdr:col>
      <xdr:colOff>963687</xdr:colOff>
      <xdr:row>71</xdr:row>
      <xdr:rowOff>126541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F58F6CE-CC84-4B82-A099-A85F1FF03225}"/>
            </a:ext>
          </a:extLst>
        </xdr:cNvPr>
        <xdr:cNvSpPr txBox="1"/>
      </xdr:nvSpPr>
      <xdr:spPr>
        <a:xfrm>
          <a:off x="3323166" y="15009126"/>
          <a:ext cx="5403396" cy="271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752592</xdr:colOff>
      <xdr:row>98</xdr:row>
      <xdr:rowOff>188149</xdr:rowOff>
    </xdr:from>
    <xdr:ext cx="7238883" cy="3393251"/>
    <xdr:graphicFrame macro="">
      <xdr:nvGraphicFramePr>
        <xdr:cNvPr id="8" name="Chart 1" title="Gráfico">
          <a:extLst>
            <a:ext uri="{FF2B5EF4-FFF2-40B4-BE49-F238E27FC236}">
              <a16:creationId xmlns:a16="http://schemas.microsoft.com/office/drawing/2014/main" id="{F3EEB72C-D753-4335-8909-EA52EA3B1F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2</xdr:col>
      <xdr:colOff>603642</xdr:colOff>
      <xdr:row>99</xdr:row>
      <xdr:rowOff>15678</xdr:rowOff>
    </xdr:from>
    <xdr:to>
      <xdr:col>8</xdr:col>
      <xdr:colOff>720663</xdr:colOff>
      <xdr:row>100</xdr:row>
      <xdr:rowOff>87343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3342FE88-89E6-4F65-A157-D706645D0924}"/>
            </a:ext>
          </a:extLst>
        </xdr:cNvPr>
        <xdr:cNvSpPr txBox="1"/>
      </xdr:nvSpPr>
      <xdr:spPr>
        <a:xfrm>
          <a:off x="3089667" y="21018303"/>
          <a:ext cx="5393871" cy="271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CKLOG_GR1_V5.0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log"/>
      <sheetName val="Sprints"/>
      <sheetName val="burdonchart - 1"/>
      <sheetName val="burdonchart - 2"/>
    </sheetNames>
    <sheetDataSet>
      <sheetData sheetId="0"/>
      <sheetData sheetId="1"/>
      <sheetData sheetId="2">
        <row r="11">
          <cell r="B11" t="str">
            <v>Horas Estimadas</v>
          </cell>
          <cell r="C11">
            <v>11.5</v>
          </cell>
          <cell r="D11">
            <v>3.5</v>
          </cell>
          <cell r="E11">
            <v>2</v>
          </cell>
          <cell r="F11">
            <v>1</v>
          </cell>
          <cell r="G11">
            <v>3</v>
          </cell>
          <cell r="H11">
            <v>1</v>
          </cell>
          <cell r="I11">
            <v>2</v>
          </cell>
          <cell r="J11">
            <v>1</v>
          </cell>
        </row>
        <row r="12">
          <cell r="B12" t="str">
            <v>Horas Estimadas
Restantes</v>
          </cell>
          <cell r="C12">
            <v>11.5</v>
          </cell>
          <cell r="D12">
            <v>9.8571428571428577</v>
          </cell>
          <cell r="E12">
            <v>8.2142857142857153</v>
          </cell>
          <cell r="F12">
            <v>6.571428571428573</v>
          </cell>
          <cell r="G12">
            <v>4.9285714285714306</v>
          </cell>
          <cell r="H12">
            <v>3.2857142857142878</v>
          </cell>
          <cell r="I12">
            <v>1.642857142857145</v>
          </cell>
          <cell r="J12">
            <v>2.2204460492503131E-15</v>
          </cell>
        </row>
        <row r="39">
          <cell r="B39" t="str">
            <v>Horas Estimadas</v>
          </cell>
          <cell r="C39">
            <v>11</v>
          </cell>
          <cell r="D39">
            <v>4.5</v>
          </cell>
          <cell r="E39">
            <v>2.5</v>
          </cell>
          <cell r="F39">
            <v>1</v>
          </cell>
          <cell r="G39">
            <v>2</v>
          </cell>
          <cell r="H39">
            <v>0</v>
          </cell>
          <cell r="I39">
            <v>0</v>
          </cell>
          <cell r="J39">
            <v>1</v>
          </cell>
        </row>
        <row r="40">
          <cell r="B40" t="str">
            <v>Horas Estimadas
Restantes</v>
          </cell>
          <cell r="C40">
            <v>11</v>
          </cell>
          <cell r="D40">
            <v>9.4285714285714288</v>
          </cell>
          <cell r="E40">
            <v>7.8571428571428577</v>
          </cell>
          <cell r="F40">
            <v>6.2857142857142865</v>
          </cell>
          <cell r="G40">
            <v>4.7142857142857153</v>
          </cell>
          <cell r="H40">
            <v>3.1428571428571441</v>
          </cell>
          <cell r="I40">
            <v>1.5714285714285727</v>
          </cell>
          <cell r="J40">
            <v>0</v>
          </cell>
        </row>
        <row r="68">
          <cell r="B68" t="str">
            <v>Horas Estimadas</v>
          </cell>
          <cell r="C68">
            <v>11.5</v>
          </cell>
          <cell r="D68">
            <v>4.5</v>
          </cell>
          <cell r="E68">
            <v>2.5</v>
          </cell>
          <cell r="F68">
            <v>-0.5</v>
          </cell>
          <cell r="G68">
            <v>-1.5</v>
          </cell>
          <cell r="H68">
            <v>-2</v>
          </cell>
          <cell r="I68">
            <v>-2.5</v>
          </cell>
          <cell r="J68">
            <v>-2.5</v>
          </cell>
        </row>
        <row r="69">
          <cell r="B69" t="str">
            <v>Horas Estimadas
Restantes</v>
          </cell>
          <cell r="C69">
            <v>11.5</v>
          </cell>
          <cell r="D69">
            <v>9.8571428569999995</v>
          </cell>
          <cell r="E69">
            <v>8.2142857140000007</v>
          </cell>
          <cell r="F69">
            <v>6.5714285710000002</v>
          </cell>
          <cell r="G69">
            <v>4.9285714289999998</v>
          </cell>
          <cell r="H69">
            <v>3.2857142860000002</v>
          </cell>
          <cell r="I69">
            <v>1.6428571430000001</v>
          </cell>
          <cell r="J69">
            <v>2.22045E-15</v>
          </cell>
        </row>
        <row r="97">
          <cell r="B97" t="str">
            <v>Horas Estimadas</v>
          </cell>
          <cell r="C97">
            <v>11.5</v>
          </cell>
          <cell r="D97">
            <v>4.5</v>
          </cell>
          <cell r="E97">
            <v>2.5</v>
          </cell>
          <cell r="F97">
            <v>-0.5</v>
          </cell>
          <cell r="G97">
            <v>-1.5</v>
          </cell>
          <cell r="H97">
            <v>-2</v>
          </cell>
          <cell r="I97">
            <v>-2.5</v>
          </cell>
          <cell r="J97">
            <v>-2.5</v>
          </cell>
        </row>
        <row r="98">
          <cell r="B98" t="str">
            <v>Horas Estimadas
Restantes</v>
          </cell>
          <cell r="C98">
            <v>11.5</v>
          </cell>
          <cell r="D98">
            <v>9.8571428569999995</v>
          </cell>
          <cell r="E98">
            <v>8.2142857140000007</v>
          </cell>
          <cell r="F98">
            <v>6.5714285710000002</v>
          </cell>
          <cell r="G98">
            <v>4.9285714289999998</v>
          </cell>
          <cell r="H98">
            <v>3.2857142860000002</v>
          </cell>
          <cell r="I98">
            <v>1.6428571430000001</v>
          </cell>
          <cell r="J98">
            <v>2.22045E-15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EABC-2A9D-4141-B081-1C17D4E30FE2}">
  <dimension ref="A1:H6"/>
  <sheetViews>
    <sheetView zoomScale="130" zoomScaleNormal="130" workbookViewId="0">
      <selection activeCell="B8" sqref="B8"/>
    </sheetView>
  </sheetViews>
  <sheetFormatPr baseColWidth="10" defaultRowHeight="15"/>
  <cols>
    <col min="1" max="1" width="9.5703125" customWidth="1"/>
    <col min="2" max="2" width="22" customWidth="1"/>
    <col min="3" max="3" width="18.28515625" customWidth="1"/>
    <col min="4" max="4" width="25.85546875" customWidth="1"/>
    <col min="5" max="5" width="29.7109375" customWidth="1"/>
    <col min="7" max="7" width="12.42578125" customWidth="1"/>
    <col min="8" max="8" width="1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3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37.5" customHeight="1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3" t="s">
        <v>13</v>
      </c>
      <c r="G3" s="2" t="s">
        <v>14</v>
      </c>
      <c r="H3" s="2" t="s">
        <v>15</v>
      </c>
    </row>
    <row r="4" spans="1:8" ht="28.5" customHeight="1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3"/>
      <c r="G4" s="2" t="s">
        <v>14</v>
      </c>
      <c r="H4" s="2" t="s">
        <v>15</v>
      </c>
    </row>
    <row r="5" spans="1:8" ht="37.5" customHeight="1">
      <c r="A5" s="2" t="s">
        <v>24</v>
      </c>
      <c r="B5" s="2" t="s">
        <v>25</v>
      </c>
      <c r="C5" s="2" t="s">
        <v>10</v>
      </c>
      <c r="D5" s="2" t="s">
        <v>26</v>
      </c>
      <c r="E5" s="2" t="s">
        <v>27</v>
      </c>
      <c r="F5" s="3" t="s">
        <v>13</v>
      </c>
      <c r="G5" s="2" t="s">
        <v>14</v>
      </c>
      <c r="H5" s="2" t="s">
        <v>15</v>
      </c>
    </row>
    <row r="6" spans="1:8" ht="34.5" customHeight="1">
      <c r="A6" s="2" t="s">
        <v>28</v>
      </c>
      <c r="B6" s="2" t="s">
        <v>29</v>
      </c>
      <c r="C6" s="2" t="s">
        <v>10</v>
      </c>
      <c r="D6" s="2" t="s">
        <v>30</v>
      </c>
      <c r="E6" s="2" t="s">
        <v>31</v>
      </c>
      <c r="F6" s="3" t="s">
        <v>13</v>
      </c>
      <c r="G6" s="2" t="s">
        <v>14</v>
      </c>
      <c r="H6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6C0B4-8BAE-4916-A460-A1849EC0DB47}">
  <dimension ref="A1:I33"/>
  <sheetViews>
    <sheetView tabSelected="1" workbookViewId="0">
      <selection activeCell="D34" sqref="D34"/>
    </sheetView>
  </sheetViews>
  <sheetFormatPr baseColWidth="10" defaultRowHeight="15"/>
  <cols>
    <col min="3" max="3" width="33.28515625" customWidth="1"/>
    <col min="4" max="4" width="25.28515625" customWidth="1"/>
    <col min="5" max="5" width="41.42578125" customWidth="1"/>
    <col min="6" max="6" width="54.140625" customWidth="1"/>
    <col min="7" max="7" width="25.5703125" customWidth="1"/>
    <col min="8" max="8" width="19.42578125" customWidth="1"/>
    <col min="9" max="9" width="27.85546875" customWidth="1"/>
  </cols>
  <sheetData>
    <row r="1" spans="1:9">
      <c r="A1" s="4" t="s">
        <v>32</v>
      </c>
      <c r="B1" s="5" t="s">
        <v>33</v>
      </c>
      <c r="C1" s="6"/>
      <c r="D1" s="6"/>
      <c r="E1" s="6"/>
      <c r="F1" s="6"/>
      <c r="G1" s="6"/>
      <c r="H1" s="6"/>
      <c r="I1" s="7"/>
    </row>
    <row r="2" spans="1:9">
      <c r="A2" s="8"/>
      <c r="B2" s="9" t="s">
        <v>0</v>
      </c>
      <c r="C2" s="9" t="s">
        <v>1</v>
      </c>
      <c r="D2" s="9" t="s">
        <v>2</v>
      </c>
      <c r="E2" s="9" t="s">
        <v>34</v>
      </c>
      <c r="F2" s="9" t="s">
        <v>35</v>
      </c>
      <c r="G2" s="9" t="s">
        <v>5</v>
      </c>
      <c r="H2" s="9" t="s">
        <v>36</v>
      </c>
      <c r="I2" s="9" t="s">
        <v>37</v>
      </c>
    </row>
    <row r="3" spans="1:9" ht="43.5" customHeight="1">
      <c r="A3" s="8"/>
      <c r="B3" s="10" t="s">
        <v>8</v>
      </c>
      <c r="C3" s="10" t="s">
        <v>38</v>
      </c>
      <c r="D3" s="10" t="s">
        <v>39</v>
      </c>
      <c r="E3" s="11" t="s">
        <v>11</v>
      </c>
      <c r="F3" s="10" t="s">
        <v>40</v>
      </c>
      <c r="G3" s="10" t="s">
        <v>41</v>
      </c>
      <c r="H3" s="10" t="s">
        <v>14</v>
      </c>
      <c r="I3" s="10" t="s">
        <v>15</v>
      </c>
    </row>
    <row r="4" spans="1:9">
      <c r="A4" s="8"/>
      <c r="B4" s="12"/>
      <c r="C4" s="13" t="s">
        <v>42</v>
      </c>
      <c r="D4" s="12"/>
      <c r="E4" s="12"/>
      <c r="F4" s="12"/>
      <c r="G4" s="13" t="s">
        <v>43</v>
      </c>
      <c r="H4" s="12"/>
      <c r="I4" s="13" t="s">
        <v>44</v>
      </c>
    </row>
    <row r="5" spans="1:9">
      <c r="A5" s="8"/>
      <c r="B5" s="14" t="s">
        <v>45</v>
      </c>
      <c r="C5" s="15" t="s">
        <v>46</v>
      </c>
      <c r="D5" s="16"/>
      <c r="E5" s="16"/>
      <c r="F5" s="16"/>
      <c r="G5" s="12" t="s">
        <v>47</v>
      </c>
      <c r="H5" s="12"/>
      <c r="I5" s="17">
        <v>1</v>
      </c>
    </row>
    <row r="6" spans="1:9">
      <c r="A6" s="8"/>
      <c r="B6" s="14" t="s">
        <v>48</v>
      </c>
      <c r="C6" s="15" t="s">
        <v>49</v>
      </c>
      <c r="D6" s="16"/>
      <c r="E6" s="16"/>
      <c r="F6" s="16"/>
      <c r="G6" s="12" t="s">
        <v>47</v>
      </c>
      <c r="H6" s="12"/>
      <c r="I6" s="17">
        <v>3</v>
      </c>
    </row>
    <row r="7" spans="1:9">
      <c r="A7" s="8"/>
      <c r="B7" s="14" t="s">
        <v>50</v>
      </c>
      <c r="C7" s="15" t="s">
        <v>51</v>
      </c>
      <c r="D7" s="16"/>
      <c r="E7" s="16"/>
      <c r="F7" s="16"/>
      <c r="G7" s="12" t="s">
        <v>47</v>
      </c>
      <c r="H7" s="12"/>
      <c r="I7" s="17">
        <v>4</v>
      </c>
    </row>
    <row r="8" spans="1:9">
      <c r="A8" s="8"/>
      <c r="B8" s="18" t="s">
        <v>52</v>
      </c>
      <c r="C8" s="19" t="s">
        <v>53</v>
      </c>
      <c r="D8" s="19"/>
      <c r="E8" s="19"/>
      <c r="F8" s="19"/>
      <c r="G8" s="12" t="s">
        <v>47</v>
      </c>
      <c r="H8" s="9"/>
      <c r="I8" s="17">
        <v>3</v>
      </c>
    </row>
    <row r="9" spans="1:9">
      <c r="A9" s="8"/>
      <c r="B9" s="18" t="s">
        <v>54</v>
      </c>
      <c r="C9" s="19" t="s">
        <v>55</v>
      </c>
      <c r="D9" s="19"/>
      <c r="E9" s="19"/>
      <c r="F9" s="19"/>
      <c r="G9" s="12" t="s">
        <v>47</v>
      </c>
      <c r="H9" s="9"/>
      <c r="I9" s="17">
        <v>0.5</v>
      </c>
    </row>
    <row r="10" spans="1:9" ht="44.25" customHeight="1">
      <c r="A10" s="8"/>
      <c r="B10" s="10" t="s">
        <v>16</v>
      </c>
      <c r="C10" s="10" t="s">
        <v>17</v>
      </c>
      <c r="D10" s="10" t="s">
        <v>39</v>
      </c>
      <c r="E10" s="11" t="s">
        <v>18</v>
      </c>
      <c r="F10" s="20" t="s">
        <v>19</v>
      </c>
      <c r="G10" s="10" t="s">
        <v>41</v>
      </c>
      <c r="H10" s="10" t="s">
        <v>14</v>
      </c>
      <c r="I10" s="10" t="s">
        <v>15</v>
      </c>
    </row>
    <row r="11" spans="1:9">
      <c r="A11" s="8"/>
      <c r="B11" s="18"/>
      <c r="C11" s="13" t="s">
        <v>42</v>
      </c>
      <c r="D11" s="21"/>
      <c r="E11" s="21"/>
      <c r="F11" s="21"/>
      <c r="G11" s="13" t="s">
        <v>43</v>
      </c>
      <c r="H11" s="9"/>
      <c r="I11" s="17"/>
    </row>
    <row r="12" spans="1:9">
      <c r="A12" s="8"/>
      <c r="B12" s="14" t="s">
        <v>56</v>
      </c>
      <c r="C12" s="15" t="s">
        <v>57</v>
      </c>
      <c r="D12" s="16"/>
      <c r="E12" s="16"/>
      <c r="F12" s="16"/>
      <c r="G12" s="12" t="s">
        <v>58</v>
      </c>
      <c r="H12" s="9"/>
      <c r="I12" s="17">
        <v>1.5</v>
      </c>
    </row>
    <row r="13" spans="1:9">
      <c r="A13" s="8"/>
      <c r="B13" s="14" t="s">
        <v>59</v>
      </c>
      <c r="C13" s="15" t="s">
        <v>60</v>
      </c>
      <c r="D13" s="16"/>
      <c r="E13" s="16"/>
      <c r="F13" s="16"/>
      <c r="G13" s="12" t="s">
        <v>58</v>
      </c>
      <c r="H13" s="9"/>
      <c r="I13" s="17">
        <v>4</v>
      </c>
    </row>
    <row r="14" spans="1:9">
      <c r="A14" s="8"/>
      <c r="B14" s="14" t="s">
        <v>61</v>
      </c>
      <c r="C14" s="15" t="s">
        <v>62</v>
      </c>
      <c r="D14" s="16"/>
      <c r="E14" s="16"/>
      <c r="F14" s="16"/>
      <c r="G14" s="12" t="s">
        <v>58</v>
      </c>
      <c r="H14" s="9"/>
      <c r="I14" s="17">
        <v>3</v>
      </c>
    </row>
    <row r="15" spans="1:9">
      <c r="A15" s="8"/>
      <c r="B15" s="14" t="s">
        <v>63</v>
      </c>
      <c r="C15" s="15" t="s">
        <v>64</v>
      </c>
      <c r="D15" s="16"/>
      <c r="E15" s="16"/>
      <c r="F15" s="16"/>
      <c r="G15" s="12" t="s">
        <v>58</v>
      </c>
      <c r="H15" s="9"/>
      <c r="I15" s="17">
        <v>2.5</v>
      </c>
    </row>
    <row r="16" spans="1:9" ht="34.5" customHeight="1">
      <c r="A16" s="8"/>
      <c r="B16" s="10" t="s">
        <v>20</v>
      </c>
      <c r="C16" s="10" t="s">
        <v>65</v>
      </c>
      <c r="D16" s="10" t="s">
        <v>39</v>
      </c>
      <c r="E16" s="11" t="s">
        <v>22</v>
      </c>
      <c r="F16" s="20" t="s">
        <v>23</v>
      </c>
      <c r="G16" s="10" t="s">
        <v>41</v>
      </c>
      <c r="H16" s="10" t="s">
        <v>14</v>
      </c>
      <c r="I16" s="10" t="s">
        <v>15</v>
      </c>
    </row>
    <row r="17" spans="1:9">
      <c r="A17" s="8"/>
      <c r="B17" s="12"/>
      <c r="C17" s="13" t="s">
        <v>42</v>
      </c>
      <c r="D17" s="12"/>
      <c r="E17" s="12"/>
      <c r="F17" s="12"/>
      <c r="G17" s="13" t="s">
        <v>43</v>
      </c>
      <c r="H17" s="12"/>
      <c r="I17" s="13" t="s">
        <v>44</v>
      </c>
    </row>
    <row r="18" spans="1:9">
      <c r="A18" s="8"/>
      <c r="B18" s="14" t="s">
        <v>66</v>
      </c>
      <c r="C18" s="15" t="s">
        <v>67</v>
      </c>
      <c r="D18" s="16"/>
      <c r="E18" s="16"/>
      <c r="F18" s="16"/>
      <c r="G18" s="12" t="s">
        <v>58</v>
      </c>
      <c r="H18" s="17"/>
      <c r="I18" s="17">
        <v>1.5</v>
      </c>
    </row>
    <row r="19" spans="1:9">
      <c r="A19" s="8"/>
      <c r="B19" s="14" t="s">
        <v>68</v>
      </c>
      <c r="C19" s="15" t="s">
        <v>69</v>
      </c>
      <c r="D19" s="16"/>
      <c r="E19" s="16"/>
      <c r="F19" s="16"/>
      <c r="G19" s="12" t="s">
        <v>58</v>
      </c>
      <c r="H19" s="17"/>
      <c r="I19" s="17">
        <v>4</v>
      </c>
    </row>
    <row r="20" spans="1:9">
      <c r="A20" s="8"/>
      <c r="B20" s="14" t="s">
        <v>70</v>
      </c>
      <c r="C20" s="15" t="s">
        <v>71</v>
      </c>
      <c r="D20" s="16"/>
      <c r="E20" s="16"/>
      <c r="F20" s="16"/>
      <c r="G20" s="12" t="s">
        <v>58</v>
      </c>
      <c r="H20" s="17"/>
      <c r="I20" s="17">
        <v>3</v>
      </c>
    </row>
    <row r="21" spans="1:9">
      <c r="A21" s="8"/>
      <c r="B21" s="14" t="s">
        <v>72</v>
      </c>
      <c r="C21" s="15" t="s">
        <v>73</v>
      </c>
      <c r="D21" s="16"/>
      <c r="E21" s="16"/>
      <c r="F21" s="16"/>
      <c r="G21" s="12" t="s">
        <v>58</v>
      </c>
      <c r="H21" s="17"/>
      <c r="I21" s="17">
        <v>2.5</v>
      </c>
    </row>
    <row r="22" spans="1:9" ht="53.25" customHeight="1">
      <c r="A22" s="8"/>
      <c r="B22" s="10" t="s">
        <v>20</v>
      </c>
      <c r="C22" s="10" t="s">
        <v>74</v>
      </c>
      <c r="D22" s="10" t="s">
        <v>39</v>
      </c>
      <c r="E22" s="11" t="s">
        <v>75</v>
      </c>
      <c r="F22" s="10" t="s">
        <v>76</v>
      </c>
      <c r="G22" s="10" t="s">
        <v>41</v>
      </c>
      <c r="H22" s="10" t="s">
        <v>14</v>
      </c>
      <c r="I22" s="10" t="s">
        <v>15</v>
      </c>
    </row>
    <row r="23" spans="1:9">
      <c r="A23" s="8"/>
      <c r="B23" s="17"/>
      <c r="C23" s="22" t="s">
        <v>42</v>
      </c>
      <c r="D23" s="17"/>
      <c r="E23" s="17"/>
      <c r="F23" s="17"/>
      <c r="G23" s="13" t="s">
        <v>43</v>
      </c>
      <c r="H23" s="17"/>
      <c r="I23" s="13" t="s">
        <v>44</v>
      </c>
    </row>
    <row r="24" spans="1:9">
      <c r="A24" s="8"/>
      <c r="B24" s="14" t="s">
        <v>66</v>
      </c>
      <c r="C24" s="15" t="s">
        <v>77</v>
      </c>
      <c r="D24" s="16"/>
      <c r="E24" s="16"/>
      <c r="F24" s="16"/>
      <c r="G24" s="12" t="s">
        <v>78</v>
      </c>
      <c r="H24" s="17"/>
      <c r="I24" s="17">
        <v>3.5</v>
      </c>
    </row>
    <row r="25" spans="1:9">
      <c r="A25" s="8"/>
      <c r="B25" s="14" t="s">
        <v>68</v>
      </c>
      <c r="C25" s="15" t="s">
        <v>79</v>
      </c>
      <c r="D25" s="16"/>
      <c r="E25" s="16"/>
      <c r="F25" s="16"/>
      <c r="G25" s="12" t="s">
        <v>78</v>
      </c>
      <c r="H25" s="17"/>
      <c r="I25" s="17">
        <v>2</v>
      </c>
    </row>
    <row r="26" spans="1:9">
      <c r="A26" s="8"/>
      <c r="B26" s="14" t="s">
        <v>70</v>
      </c>
      <c r="C26" s="15" t="s">
        <v>80</v>
      </c>
      <c r="D26" s="16"/>
      <c r="E26" s="16"/>
      <c r="F26" s="16"/>
      <c r="G26" s="12" t="s">
        <v>78</v>
      </c>
      <c r="H26" s="17"/>
      <c r="I26" s="17">
        <v>2</v>
      </c>
    </row>
    <row r="27" spans="1:9">
      <c r="A27" s="8"/>
      <c r="B27" s="14" t="s">
        <v>72</v>
      </c>
      <c r="C27" s="15" t="s">
        <v>81</v>
      </c>
      <c r="D27" s="16"/>
      <c r="E27" s="16"/>
      <c r="F27" s="16"/>
      <c r="G27" s="12" t="s">
        <v>78</v>
      </c>
      <c r="H27" s="17"/>
      <c r="I27" s="17">
        <v>1.5</v>
      </c>
    </row>
    <row r="28" spans="1:9" ht="30.75" customHeight="1">
      <c r="A28" s="8"/>
      <c r="B28" s="10" t="s">
        <v>24</v>
      </c>
      <c r="C28" s="10" t="s">
        <v>82</v>
      </c>
      <c r="D28" s="10" t="s">
        <v>39</v>
      </c>
      <c r="E28" s="11" t="s">
        <v>30</v>
      </c>
      <c r="F28" s="20" t="s">
        <v>31</v>
      </c>
      <c r="G28" s="10" t="s">
        <v>41</v>
      </c>
      <c r="H28" s="10" t="s">
        <v>14</v>
      </c>
      <c r="I28" s="10" t="s">
        <v>15</v>
      </c>
    </row>
    <row r="29" spans="1:9">
      <c r="A29" s="8"/>
      <c r="B29" s="17"/>
      <c r="C29" s="17" t="s">
        <v>42</v>
      </c>
      <c r="D29" s="17"/>
      <c r="E29" s="17"/>
      <c r="F29" s="17"/>
      <c r="G29" s="13" t="s">
        <v>43</v>
      </c>
      <c r="H29" s="17"/>
      <c r="I29" s="13" t="s">
        <v>44</v>
      </c>
    </row>
    <row r="30" spans="1:9">
      <c r="A30" s="8"/>
      <c r="B30" s="14" t="s">
        <v>83</v>
      </c>
      <c r="C30" s="15" t="s">
        <v>84</v>
      </c>
      <c r="D30" s="16"/>
      <c r="E30" s="16"/>
      <c r="F30" s="16"/>
      <c r="G30" s="12" t="s">
        <v>78</v>
      </c>
      <c r="H30" s="17"/>
      <c r="I30" s="17">
        <v>1</v>
      </c>
    </row>
    <row r="31" spans="1:9">
      <c r="A31" s="8"/>
      <c r="B31" s="14" t="s">
        <v>85</v>
      </c>
      <c r="C31" s="15" t="s">
        <v>86</v>
      </c>
      <c r="D31" s="16"/>
      <c r="E31" s="16"/>
      <c r="F31" s="16"/>
      <c r="G31" s="12" t="s">
        <v>78</v>
      </c>
      <c r="H31" s="17"/>
      <c r="I31" s="17">
        <v>1.5</v>
      </c>
    </row>
    <row r="32" spans="1:9">
      <c r="A32" s="8"/>
      <c r="B32" s="14" t="s">
        <v>87</v>
      </c>
      <c r="C32" s="15" t="s">
        <v>88</v>
      </c>
      <c r="D32" s="16"/>
      <c r="E32" s="16"/>
      <c r="F32" s="16"/>
      <c r="G32" s="12" t="s">
        <v>78</v>
      </c>
      <c r="H32" s="17"/>
      <c r="I32" s="17">
        <v>1</v>
      </c>
    </row>
    <row r="33" spans="1:9">
      <c r="A33" s="8"/>
      <c r="B33" s="23" t="s">
        <v>89</v>
      </c>
      <c r="C33" s="24" t="s">
        <v>90</v>
      </c>
      <c r="D33" s="25"/>
      <c r="E33" s="25"/>
      <c r="F33" s="25"/>
      <c r="G33" s="26" t="s">
        <v>78</v>
      </c>
      <c r="H33" s="27"/>
      <c r="I33" s="27">
        <v>2</v>
      </c>
    </row>
  </sheetData>
  <mergeCells count="22">
    <mergeCell ref="C30:F30"/>
    <mergeCell ref="C31:F31"/>
    <mergeCell ref="C32:F32"/>
    <mergeCell ref="C33:F33"/>
    <mergeCell ref="C20:F20"/>
    <mergeCell ref="C21:F21"/>
    <mergeCell ref="C24:F24"/>
    <mergeCell ref="C25:F25"/>
    <mergeCell ref="C26:F26"/>
    <mergeCell ref="C27:F27"/>
    <mergeCell ref="C12:F12"/>
    <mergeCell ref="C13:F13"/>
    <mergeCell ref="C14:F14"/>
    <mergeCell ref="C15:F15"/>
    <mergeCell ref="C18:F18"/>
    <mergeCell ref="C19:F19"/>
    <mergeCell ref="B1:I1"/>
    <mergeCell ref="C5:F5"/>
    <mergeCell ref="C6:F6"/>
    <mergeCell ref="C7:F7"/>
    <mergeCell ref="C8:F8"/>
    <mergeCell ref="C9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A7E75-AD58-42C1-8F9E-2E270248FB7C}">
  <dimension ref="A1:K119"/>
  <sheetViews>
    <sheetView topLeftCell="A115" workbookViewId="0">
      <selection activeCell="B137" sqref="B137"/>
    </sheetView>
  </sheetViews>
  <sheetFormatPr baseColWidth="10" defaultRowHeight="15"/>
  <cols>
    <col min="2" max="2" width="25.140625" customWidth="1"/>
    <col min="3" max="3" width="15" customWidth="1"/>
    <col min="11" max="11" width="13.85546875" customWidth="1"/>
  </cols>
  <sheetData>
    <row r="1" spans="1:11">
      <c r="A1" s="8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>
      <c r="A2" s="8"/>
      <c r="B2" s="8"/>
      <c r="C2" s="8"/>
      <c r="D2" s="8"/>
      <c r="E2" s="28" t="s">
        <v>91</v>
      </c>
      <c r="F2" s="28"/>
      <c r="G2" s="28"/>
      <c r="H2" s="28"/>
      <c r="I2" s="28"/>
      <c r="J2" s="8"/>
      <c r="K2" s="8"/>
    </row>
    <row r="3" spans="1:11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>
      <c r="A4" s="8"/>
      <c r="B4" s="29" t="s">
        <v>92</v>
      </c>
      <c r="C4" s="29"/>
      <c r="D4" s="29"/>
      <c r="E4" s="29"/>
      <c r="F4" s="29"/>
      <c r="G4" s="29"/>
      <c r="H4" s="29"/>
      <c r="I4" s="29"/>
      <c r="J4" s="29"/>
      <c r="K4" s="29"/>
    </row>
    <row r="5" spans="1:11">
      <c r="A5" s="8"/>
      <c r="B5" s="30"/>
      <c r="C5" s="30" t="s">
        <v>44</v>
      </c>
      <c r="D5" s="30" t="s">
        <v>93</v>
      </c>
      <c r="E5" s="30" t="s">
        <v>94</v>
      </c>
      <c r="F5" s="30" t="s">
        <v>95</v>
      </c>
      <c r="G5" s="30" t="s">
        <v>96</v>
      </c>
      <c r="H5" s="30" t="s">
        <v>97</v>
      </c>
      <c r="I5" s="30" t="s">
        <v>98</v>
      </c>
      <c r="J5" s="30" t="s">
        <v>99</v>
      </c>
      <c r="K5" s="30" t="s">
        <v>100</v>
      </c>
    </row>
    <row r="6" spans="1:11">
      <c r="A6" s="31"/>
      <c r="B6" s="32" t="s">
        <v>45</v>
      </c>
      <c r="C6" s="33">
        <v>1</v>
      </c>
      <c r="D6" s="32">
        <v>0</v>
      </c>
      <c r="E6" s="32">
        <v>0</v>
      </c>
      <c r="F6" s="32">
        <v>0</v>
      </c>
      <c r="G6" s="32">
        <v>0</v>
      </c>
      <c r="H6" s="32">
        <v>0</v>
      </c>
      <c r="I6" s="32">
        <v>0</v>
      </c>
      <c r="J6" s="32">
        <v>1</v>
      </c>
      <c r="K6" s="34">
        <f>SUM(D6:J6)</f>
        <v>1</v>
      </c>
    </row>
    <row r="7" spans="1:11">
      <c r="A7" s="31"/>
      <c r="B7" s="32" t="s">
        <v>48</v>
      </c>
      <c r="C7" s="33">
        <v>3</v>
      </c>
      <c r="D7" s="32">
        <v>0</v>
      </c>
      <c r="E7" s="32">
        <v>0</v>
      </c>
      <c r="F7" s="32">
        <v>0</v>
      </c>
      <c r="G7" s="32">
        <v>1</v>
      </c>
      <c r="H7" s="32">
        <v>1</v>
      </c>
      <c r="I7" s="32">
        <v>1</v>
      </c>
      <c r="J7" s="32">
        <v>0</v>
      </c>
      <c r="K7" s="34">
        <f t="shared" ref="K7:K10" si="0">SUM(D7:J7)</f>
        <v>3</v>
      </c>
    </row>
    <row r="8" spans="1:11">
      <c r="A8" s="8"/>
      <c r="B8" s="32" t="s">
        <v>50</v>
      </c>
      <c r="C8" s="33">
        <v>4</v>
      </c>
      <c r="D8" s="32">
        <v>1</v>
      </c>
      <c r="E8" s="32">
        <v>2</v>
      </c>
      <c r="F8" s="32">
        <v>1</v>
      </c>
      <c r="G8" s="32">
        <v>1</v>
      </c>
      <c r="H8" s="32">
        <v>0</v>
      </c>
      <c r="I8" s="32">
        <v>0</v>
      </c>
      <c r="J8" s="32">
        <v>0</v>
      </c>
      <c r="K8" s="34">
        <f t="shared" si="0"/>
        <v>5</v>
      </c>
    </row>
    <row r="9" spans="1:11">
      <c r="A9" s="8"/>
      <c r="B9" s="32" t="s">
        <v>52</v>
      </c>
      <c r="C9" s="33">
        <v>3</v>
      </c>
      <c r="D9" s="32">
        <v>2</v>
      </c>
      <c r="E9" s="32">
        <v>0</v>
      </c>
      <c r="F9" s="32">
        <v>0</v>
      </c>
      <c r="G9" s="32">
        <v>1</v>
      </c>
      <c r="H9" s="32">
        <v>0</v>
      </c>
      <c r="I9" s="32">
        <v>1</v>
      </c>
      <c r="J9" s="32">
        <v>0</v>
      </c>
      <c r="K9" s="34">
        <f t="shared" si="0"/>
        <v>4</v>
      </c>
    </row>
    <row r="10" spans="1:11">
      <c r="A10" s="8"/>
      <c r="B10" s="32" t="s">
        <v>54</v>
      </c>
      <c r="C10" s="33">
        <v>0.5</v>
      </c>
      <c r="D10" s="35">
        <v>0.5</v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4">
        <f t="shared" si="0"/>
        <v>0.5</v>
      </c>
    </row>
    <row r="11" spans="1:11">
      <c r="A11" s="8"/>
      <c r="B11" s="36" t="s">
        <v>101</v>
      </c>
      <c r="C11" s="30">
        <f>SUM(C6:C10)</f>
        <v>11.5</v>
      </c>
      <c r="D11" s="30">
        <f>SUM(D6:D10)</f>
        <v>3.5</v>
      </c>
      <c r="E11" s="30">
        <f t="shared" ref="E11:J11" si="1">SUM(E6:E10)</f>
        <v>2</v>
      </c>
      <c r="F11" s="30">
        <f t="shared" si="1"/>
        <v>1</v>
      </c>
      <c r="G11" s="30">
        <f t="shared" si="1"/>
        <v>3</v>
      </c>
      <c r="H11" s="30">
        <f t="shared" si="1"/>
        <v>1</v>
      </c>
      <c r="I11" s="30">
        <f t="shared" si="1"/>
        <v>2</v>
      </c>
      <c r="J11" s="30">
        <f t="shared" si="1"/>
        <v>1</v>
      </c>
      <c r="K11" s="37"/>
    </row>
    <row r="12" spans="1:11">
      <c r="A12" s="8"/>
      <c r="B12" s="36" t="s">
        <v>102</v>
      </c>
      <c r="C12" s="30">
        <f>SUM(C6:C10)</f>
        <v>11.5</v>
      </c>
      <c r="D12" s="30">
        <f>C12-(SUM(C6:C10)/7)</f>
        <v>9.8571428571428577</v>
      </c>
      <c r="E12" s="30">
        <f>D12-(SUM(C6:C10)/7)</f>
        <v>8.2142857142857153</v>
      </c>
      <c r="F12" s="30">
        <f>E12-(SUM(C6:C10)/7)</f>
        <v>6.571428571428573</v>
      </c>
      <c r="G12" s="30">
        <f>F12-(SUM(C6:C10)/7)</f>
        <v>4.9285714285714306</v>
      </c>
      <c r="H12" s="30">
        <f>G12-(SUM(C6:C10)/7)</f>
        <v>3.2857142857142878</v>
      </c>
      <c r="I12" s="30">
        <f>H12-(SUM(C6:C10)/7)</f>
        <v>1.642857142857145</v>
      </c>
      <c r="J12" s="30">
        <f>I12-(SUM(C6:C10)/7)</f>
        <v>2.2204460492503131E-15</v>
      </c>
      <c r="K12" s="37"/>
    </row>
    <row r="13" spans="1:1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38"/>
      <c r="C21" s="38"/>
      <c r="D21" s="38"/>
      <c r="E21" s="38"/>
      <c r="F21" s="8"/>
      <c r="G21" s="8"/>
      <c r="H21" s="8"/>
      <c r="I21" s="8"/>
      <c r="J21" s="8"/>
      <c r="K21" s="8"/>
    </row>
    <row r="22" spans="1:11">
      <c r="A22" s="8"/>
      <c r="B22" s="38"/>
      <c r="C22" s="38"/>
      <c r="D22" s="38"/>
      <c r="E22" s="38"/>
      <c r="F22" s="8"/>
      <c r="G22" s="8"/>
      <c r="H22" s="8"/>
      <c r="I22" s="8"/>
      <c r="J22" s="8"/>
      <c r="K22" s="8"/>
    </row>
    <row r="23" spans="1:11">
      <c r="A23" s="8"/>
      <c r="B23" s="38"/>
      <c r="C23" s="38"/>
      <c r="D23" s="38"/>
      <c r="E23" s="38"/>
      <c r="F23" s="8"/>
      <c r="G23" s="8"/>
      <c r="H23" s="8"/>
      <c r="I23" s="8"/>
      <c r="J23" s="8"/>
      <c r="K23" s="8"/>
    </row>
    <row r="24" spans="1:11">
      <c r="A24" s="8"/>
      <c r="B24" s="38"/>
      <c r="C24" s="38"/>
      <c r="D24" s="38"/>
      <c r="E24" s="38"/>
      <c r="F24" s="8"/>
      <c r="G24" s="8"/>
      <c r="H24" s="8"/>
      <c r="I24" s="8"/>
      <c r="J24" s="8"/>
      <c r="K24" s="8"/>
    </row>
    <row r="25" spans="1:11">
      <c r="A25" s="8"/>
      <c r="B25" s="38"/>
      <c r="C25" s="38"/>
      <c r="D25" s="38"/>
      <c r="E25" s="38"/>
      <c r="F25" s="8"/>
      <c r="G25" s="8"/>
      <c r="H25" s="8"/>
      <c r="I25" s="8"/>
      <c r="J25" s="8"/>
      <c r="K25" s="8"/>
    </row>
    <row r="26" spans="1:11">
      <c r="A26" s="8"/>
      <c r="B26" s="38"/>
      <c r="C26" s="38"/>
      <c r="D26" s="38"/>
      <c r="E26" s="38"/>
      <c r="F26" s="8"/>
      <c r="G26" s="8"/>
      <c r="H26" s="8"/>
      <c r="I26" s="8"/>
      <c r="J26" s="8"/>
      <c r="K26" s="8"/>
    </row>
    <row r="27" spans="1:11">
      <c r="A27" s="8"/>
      <c r="B27" s="38"/>
      <c r="C27" s="38"/>
      <c r="D27" s="38"/>
      <c r="E27" s="38"/>
      <c r="F27" s="8"/>
      <c r="G27" s="8"/>
      <c r="H27" s="8"/>
      <c r="I27" s="8"/>
      <c r="J27" s="8"/>
      <c r="K27" s="8"/>
    </row>
    <row r="28" spans="1:11">
      <c r="A28" s="8"/>
      <c r="B28" s="38"/>
      <c r="C28" s="38"/>
      <c r="D28" s="38"/>
      <c r="E28" s="38"/>
      <c r="F28" s="8"/>
      <c r="G28" s="8"/>
      <c r="H28" s="8"/>
      <c r="I28" s="8"/>
      <c r="J28" s="8"/>
      <c r="K28" s="8"/>
    </row>
    <row r="29" spans="1:11">
      <c r="A29" s="8"/>
      <c r="B29" s="38"/>
      <c r="C29" s="38"/>
      <c r="D29" s="38"/>
      <c r="E29" s="38"/>
      <c r="F29" s="8"/>
      <c r="G29" s="8"/>
      <c r="H29" s="8"/>
      <c r="I29" s="8"/>
      <c r="J29" s="8"/>
      <c r="K29" s="8"/>
    </row>
    <row r="30" spans="1:11">
      <c r="A30" s="8"/>
      <c r="B30" s="38"/>
      <c r="C30" s="38"/>
      <c r="D30" s="38"/>
      <c r="E30" s="38"/>
      <c r="F30" s="8"/>
      <c r="G30" s="8"/>
      <c r="H30" s="8"/>
      <c r="I30" s="8"/>
      <c r="J30" s="8"/>
      <c r="K30" s="8"/>
    </row>
    <row r="31" spans="1:11">
      <c r="A31" s="8"/>
      <c r="B31" s="38"/>
      <c r="C31" s="38"/>
      <c r="D31" s="38"/>
      <c r="E31" s="38"/>
      <c r="F31" s="8"/>
      <c r="G31" s="8"/>
      <c r="H31" s="8"/>
      <c r="I31" s="8"/>
      <c r="J31" s="8"/>
      <c r="K31" s="8"/>
    </row>
    <row r="32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>
      <c r="A33" s="8"/>
      <c r="B33" s="39" t="s">
        <v>103</v>
      </c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8"/>
      <c r="B34" s="40" t="s">
        <v>104</v>
      </c>
      <c r="C34" s="40" t="s">
        <v>44</v>
      </c>
      <c r="D34" s="41" t="s">
        <v>105</v>
      </c>
      <c r="E34" s="41" t="s">
        <v>106</v>
      </c>
      <c r="F34" s="41" t="s">
        <v>107</v>
      </c>
      <c r="G34" s="41" t="s">
        <v>108</v>
      </c>
      <c r="H34" s="41" t="s">
        <v>109</v>
      </c>
      <c r="I34" s="40" t="s">
        <v>110</v>
      </c>
      <c r="J34" s="40" t="s">
        <v>99</v>
      </c>
      <c r="K34" s="40" t="s">
        <v>100</v>
      </c>
    </row>
    <row r="35" spans="1:11">
      <c r="A35" s="8"/>
      <c r="B35" s="42" t="s">
        <v>56</v>
      </c>
      <c r="C35" s="43">
        <v>1.5</v>
      </c>
      <c r="D35" s="44">
        <v>0</v>
      </c>
      <c r="E35" s="44">
        <v>0.5</v>
      </c>
      <c r="F35" s="44">
        <v>0</v>
      </c>
      <c r="G35" s="44">
        <v>0</v>
      </c>
      <c r="H35" s="44">
        <v>0</v>
      </c>
      <c r="I35" s="42">
        <v>0</v>
      </c>
      <c r="J35" s="42">
        <v>1</v>
      </c>
      <c r="K35" s="45">
        <v>1.5</v>
      </c>
    </row>
    <row r="36" spans="1:11">
      <c r="A36" s="8"/>
      <c r="B36" s="42" t="s">
        <v>59</v>
      </c>
      <c r="C36" s="43">
        <v>4</v>
      </c>
      <c r="D36" s="44">
        <v>1</v>
      </c>
      <c r="E36" s="44">
        <v>1</v>
      </c>
      <c r="F36" s="44">
        <v>1</v>
      </c>
      <c r="G36" s="44">
        <v>1</v>
      </c>
      <c r="H36" s="44">
        <v>0</v>
      </c>
      <c r="I36" s="42">
        <v>0</v>
      </c>
      <c r="J36" s="42">
        <v>0</v>
      </c>
      <c r="K36" s="45">
        <v>4</v>
      </c>
    </row>
    <row r="37" spans="1:11">
      <c r="A37" s="8"/>
      <c r="B37" s="42" t="s">
        <v>61</v>
      </c>
      <c r="C37" s="43">
        <v>3</v>
      </c>
      <c r="D37" s="44">
        <v>2.5</v>
      </c>
      <c r="E37" s="44">
        <v>0</v>
      </c>
      <c r="F37" s="44">
        <v>0</v>
      </c>
      <c r="G37" s="44">
        <v>1</v>
      </c>
      <c r="H37" s="44">
        <v>0</v>
      </c>
      <c r="I37" s="42">
        <v>0</v>
      </c>
      <c r="J37" s="42">
        <v>0</v>
      </c>
      <c r="K37" s="45">
        <v>3</v>
      </c>
    </row>
    <row r="38" spans="1:11">
      <c r="A38" s="8"/>
      <c r="B38" s="42" t="s">
        <v>63</v>
      </c>
      <c r="C38" s="43">
        <v>2.5</v>
      </c>
      <c r="D38" s="46">
        <v>1</v>
      </c>
      <c r="E38" s="44">
        <v>1</v>
      </c>
      <c r="F38" s="44">
        <v>0</v>
      </c>
      <c r="G38" s="44">
        <v>0</v>
      </c>
      <c r="H38" s="44">
        <v>0</v>
      </c>
      <c r="I38" s="42">
        <v>0</v>
      </c>
      <c r="J38" s="42">
        <v>0</v>
      </c>
      <c r="K38" s="45">
        <v>2.5</v>
      </c>
    </row>
    <row r="39" spans="1:11" ht="17.25">
      <c r="A39" s="8"/>
      <c r="B39" s="47" t="s">
        <v>101</v>
      </c>
      <c r="C39" s="48">
        <f t="shared" ref="C39:J39" si="2">SUM(C35:C38)</f>
        <v>11</v>
      </c>
      <c r="D39" s="49">
        <f t="shared" si="2"/>
        <v>4.5</v>
      </c>
      <c r="E39" s="50">
        <f t="shared" si="2"/>
        <v>2.5</v>
      </c>
      <c r="F39" s="41">
        <f t="shared" si="2"/>
        <v>1</v>
      </c>
      <c r="G39" s="41">
        <f t="shared" si="2"/>
        <v>2</v>
      </c>
      <c r="H39" s="41">
        <f t="shared" si="2"/>
        <v>0</v>
      </c>
      <c r="I39" s="48">
        <f t="shared" si="2"/>
        <v>0</v>
      </c>
      <c r="J39" s="40">
        <f t="shared" si="2"/>
        <v>1</v>
      </c>
      <c r="K39" s="51" t="s">
        <v>104</v>
      </c>
    </row>
    <row r="40" spans="1:11" ht="38.25">
      <c r="A40" s="8"/>
      <c r="B40" s="52" t="s">
        <v>102</v>
      </c>
      <c r="C40" s="40">
        <f>SUM(C35:C38)</f>
        <v>11</v>
      </c>
      <c r="D40" s="53">
        <f>C40-(SUM(C35:C38)/7)</f>
        <v>9.4285714285714288</v>
      </c>
      <c r="E40" s="54">
        <f>D40-(SUM(C35:C38)/7)</f>
        <v>7.8571428571428577</v>
      </c>
      <c r="F40" s="41">
        <f>E40-(SUM(C35:C38)/7)</f>
        <v>6.2857142857142865</v>
      </c>
      <c r="G40" s="41">
        <f>F40-(SUM(C35:C38)/7)</f>
        <v>4.7142857142857153</v>
      </c>
      <c r="H40" s="41">
        <f>G40-(SUM(C35:C38)/7)</f>
        <v>3.1428571428571441</v>
      </c>
      <c r="I40" s="48">
        <f>H40-(SUM(C35:C38)/7)</f>
        <v>1.5714285714285727</v>
      </c>
      <c r="J40" s="55">
        <f>I40-(SUM(C35:C38)/7)</f>
        <v>0</v>
      </c>
      <c r="K40" s="51" t="s">
        <v>104</v>
      </c>
    </row>
    <row r="41" spans="1:11">
      <c r="A41" s="8"/>
      <c r="B41" s="8"/>
      <c r="C41" s="8"/>
      <c r="D41" s="8"/>
      <c r="E41" s="8"/>
      <c r="F41" s="8"/>
      <c r="G41" s="8"/>
      <c r="H41" s="8"/>
      <c r="I41" s="8"/>
      <c r="K41" s="8"/>
    </row>
    <row r="42" spans="1:1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spans="1:1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spans="1:1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spans="1:1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spans="1:1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spans="1:1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spans="1:1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spans="1:1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spans="1:11">
      <c r="A58" s="8"/>
      <c r="B58" s="8"/>
      <c r="C58" s="8"/>
      <c r="D58" s="56"/>
      <c r="E58" s="8"/>
      <c r="F58" s="8"/>
      <c r="G58" s="8"/>
      <c r="H58" s="8"/>
      <c r="I58" s="8"/>
      <c r="J58" s="8"/>
      <c r="K58" s="8"/>
    </row>
    <row r="59" spans="1:1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spans="1:11">
      <c r="A60" s="8"/>
      <c r="B60" s="8"/>
      <c r="C60" s="8"/>
      <c r="D60" s="8"/>
      <c r="E60" s="56"/>
      <c r="F60" s="8"/>
      <c r="G60" s="8"/>
      <c r="H60" s="8"/>
      <c r="I60" s="8"/>
      <c r="J60" s="8"/>
      <c r="K60" s="8"/>
    </row>
    <row r="61" spans="1:11">
      <c r="A61" s="8"/>
      <c r="B61" s="8"/>
      <c r="C61" s="8"/>
      <c r="D61" s="8"/>
      <c r="E61" s="56"/>
      <c r="F61" s="8"/>
      <c r="G61" s="8"/>
      <c r="H61" s="8"/>
      <c r="I61" s="8"/>
      <c r="J61" s="8"/>
      <c r="K61" s="8"/>
    </row>
    <row r="62" spans="1:11">
      <c r="A62" s="8"/>
      <c r="B62" s="57" t="s">
        <v>111</v>
      </c>
      <c r="C62" s="57"/>
      <c r="D62" s="57"/>
      <c r="E62" s="57"/>
      <c r="F62" s="57"/>
      <c r="G62" s="57"/>
      <c r="H62" s="57"/>
      <c r="I62" s="57"/>
      <c r="J62" s="57"/>
      <c r="K62" s="57"/>
    </row>
    <row r="63" spans="1:11">
      <c r="A63" s="8"/>
      <c r="B63" s="40" t="s">
        <v>104</v>
      </c>
      <c r="C63" s="40" t="s">
        <v>44</v>
      </c>
      <c r="D63" s="41" t="s">
        <v>105</v>
      </c>
      <c r="E63" s="41" t="s">
        <v>94</v>
      </c>
      <c r="F63" s="41" t="s">
        <v>107</v>
      </c>
      <c r="G63" s="41" t="s">
        <v>108</v>
      </c>
      <c r="H63" s="41" t="s">
        <v>109</v>
      </c>
      <c r="I63" s="40" t="s">
        <v>110</v>
      </c>
      <c r="J63" s="40" t="s">
        <v>99</v>
      </c>
      <c r="K63" s="40" t="s">
        <v>100</v>
      </c>
    </row>
    <row r="64" spans="1:11">
      <c r="A64" s="8"/>
      <c r="B64" s="42" t="s">
        <v>56</v>
      </c>
      <c r="C64" s="43">
        <v>1.5</v>
      </c>
      <c r="D64" s="44">
        <v>0</v>
      </c>
      <c r="E64" s="44">
        <v>0</v>
      </c>
      <c r="F64" s="44">
        <v>0</v>
      </c>
      <c r="G64" s="44">
        <v>1</v>
      </c>
      <c r="H64" s="44">
        <v>0.5</v>
      </c>
      <c r="I64" s="42">
        <v>0.5</v>
      </c>
      <c r="J64" s="42">
        <v>0</v>
      </c>
      <c r="K64" s="45">
        <v>1.5</v>
      </c>
    </row>
    <row r="65" spans="1:11">
      <c r="A65" s="8"/>
      <c r="B65" s="42" t="s">
        <v>59</v>
      </c>
      <c r="C65" s="43">
        <v>4</v>
      </c>
      <c r="D65" s="44">
        <v>2</v>
      </c>
      <c r="E65" s="44">
        <v>1</v>
      </c>
      <c r="F65" s="44">
        <v>2</v>
      </c>
      <c r="G65" s="44">
        <v>0</v>
      </c>
      <c r="H65" s="44">
        <v>0</v>
      </c>
      <c r="I65" s="42">
        <v>0</v>
      </c>
      <c r="J65" s="42">
        <v>0</v>
      </c>
      <c r="K65" s="45">
        <v>4</v>
      </c>
    </row>
    <row r="66" spans="1:11">
      <c r="A66" s="8"/>
      <c r="B66" s="42" t="s">
        <v>61</v>
      </c>
      <c r="C66" s="43">
        <v>1</v>
      </c>
      <c r="D66" s="44">
        <v>3</v>
      </c>
      <c r="E66" s="44">
        <v>0</v>
      </c>
      <c r="F66" s="44">
        <v>0</v>
      </c>
      <c r="G66" s="44">
        <v>0</v>
      </c>
      <c r="H66" s="44">
        <v>0</v>
      </c>
      <c r="I66" s="42">
        <v>0</v>
      </c>
      <c r="J66" s="42">
        <v>0</v>
      </c>
      <c r="K66" s="58">
        <v>3</v>
      </c>
    </row>
    <row r="67" spans="1:11">
      <c r="A67" s="8"/>
      <c r="B67" s="42" t="s">
        <v>63</v>
      </c>
      <c r="C67" s="43">
        <v>2.5</v>
      </c>
      <c r="D67" s="44">
        <v>2</v>
      </c>
      <c r="E67" s="44">
        <v>1</v>
      </c>
      <c r="F67" s="44">
        <v>1</v>
      </c>
      <c r="G67" s="44">
        <v>0</v>
      </c>
      <c r="H67" s="44">
        <v>0</v>
      </c>
      <c r="I67" s="42">
        <v>0</v>
      </c>
      <c r="J67" s="59">
        <v>0</v>
      </c>
      <c r="K67" s="45">
        <v>2.5</v>
      </c>
    </row>
    <row r="68" spans="1:11" ht="17.25">
      <c r="A68" s="8"/>
      <c r="B68" s="47" t="s">
        <v>101</v>
      </c>
      <c r="C68" s="40">
        <v>11.5</v>
      </c>
      <c r="D68" s="41">
        <v>4.5</v>
      </c>
      <c r="E68" s="54">
        <v>2.5</v>
      </c>
      <c r="F68" s="41">
        <v>-0.5</v>
      </c>
      <c r="G68" s="41">
        <v>-1.5</v>
      </c>
      <c r="H68" s="41">
        <v>-2</v>
      </c>
      <c r="I68" s="48">
        <v>-2.5</v>
      </c>
      <c r="J68" s="40">
        <v>-2.5</v>
      </c>
      <c r="K68" s="51" t="s">
        <v>104</v>
      </c>
    </row>
    <row r="69" spans="1:11" ht="38.25">
      <c r="A69" s="8"/>
      <c r="B69" s="52" t="s">
        <v>102</v>
      </c>
      <c r="C69" s="40">
        <v>11.5</v>
      </c>
      <c r="D69" s="41">
        <v>9.8571428569999995</v>
      </c>
      <c r="E69" s="54">
        <v>8.2142857140000007</v>
      </c>
      <c r="F69" s="41">
        <v>6.5714285710000002</v>
      </c>
      <c r="G69" s="41">
        <v>4.9285714289999998</v>
      </c>
      <c r="H69" s="41">
        <v>3.2857142860000002</v>
      </c>
      <c r="I69" s="48">
        <v>1.6428571430000001</v>
      </c>
      <c r="J69" s="55">
        <v>2.22045E-15</v>
      </c>
      <c r="K69" s="51" t="s">
        <v>104</v>
      </c>
    </row>
    <row r="70" spans="1:1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spans="1:1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spans="1:1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spans="1:1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spans="1:1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spans="1:1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spans="1:1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spans="1:1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spans="1:1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spans="1:1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spans="1:1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spans="1:1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spans="1:1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spans="1:1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spans="1:1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spans="1:1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spans="1:1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spans="1:1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spans="1:1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spans="1:11">
      <c r="A89" s="8"/>
      <c r="B89" s="60"/>
      <c r="C89" s="8"/>
      <c r="D89" s="8"/>
      <c r="E89" s="8"/>
      <c r="F89" s="8"/>
      <c r="G89" s="8"/>
      <c r="H89" s="8"/>
      <c r="I89" s="8"/>
      <c r="J89" s="8"/>
      <c r="K89" s="8"/>
    </row>
    <row r="90" spans="1:1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spans="1:11">
      <c r="A91" s="8"/>
      <c r="B91" s="57" t="s">
        <v>112</v>
      </c>
      <c r="C91" s="57"/>
      <c r="D91" s="57"/>
      <c r="E91" s="57"/>
      <c r="F91" s="57"/>
      <c r="G91" s="57"/>
      <c r="H91" s="57"/>
      <c r="I91" s="57"/>
      <c r="J91" s="57"/>
      <c r="K91" s="57"/>
    </row>
    <row r="92" spans="1:11">
      <c r="A92" s="8"/>
      <c r="B92" s="40" t="s">
        <v>104</v>
      </c>
      <c r="C92" s="40" t="s">
        <v>44</v>
      </c>
      <c r="D92" s="41" t="s">
        <v>105</v>
      </c>
      <c r="E92" s="41" t="s">
        <v>106</v>
      </c>
      <c r="F92" s="41" t="s">
        <v>107</v>
      </c>
      <c r="G92" s="41" t="s">
        <v>108</v>
      </c>
      <c r="H92" s="41" t="s">
        <v>109</v>
      </c>
      <c r="I92" s="40" t="s">
        <v>110</v>
      </c>
      <c r="J92" s="40" t="s">
        <v>113</v>
      </c>
      <c r="K92" s="40" t="s">
        <v>100</v>
      </c>
    </row>
    <row r="93" spans="1:11">
      <c r="A93" s="8"/>
      <c r="B93" s="42" t="s">
        <v>83</v>
      </c>
      <c r="C93" s="43">
        <v>1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2">
        <v>0</v>
      </c>
      <c r="J93" s="42">
        <v>0</v>
      </c>
      <c r="K93" s="45">
        <v>1.5</v>
      </c>
    </row>
    <row r="94" spans="1:11">
      <c r="A94" s="8"/>
      <c r="B94" s="42" t="s">
        <v>85</v>
      </c>
      <c r="C94" s="43">
        <v>1.5</v>
      </c>
      <c r="D94" s="44">
        <v>0</v>
      </c>
      <c r="E94" s="44">
        <v>1</v>
      </c>
      <c r="F94" s="44">
        <v>2</v>
      </c>
      <c r="G94" s="44">
        <v>0</v>
      </c>
      <c r="H94" s="44">
        <v>0</v>
      </c>
      <c r="I94" s="42">
        <v>0</v>
      </c>
      <c r="J94" s="42">
        <v>0</v>
      </c>
      <c r="K94" s="45">
        <v>1</v>
      </c>
    </row>
    <row r="95" spans="1:11">
      <c r="A95" s="8"/>
      <c r="B95" s="42" t="s">
        <v>87</v>
      </c>
      <c r="C95" s="43">
        <v>1</v>
      </c>
      <c r="D95" s="44">
        <v>3</v>
      </c>
      <c r="E95" s="44">
        <v>0</v>
      </c>
      <c r="F95" s="44">
        <v>0</v>
      </c>
      <c r="G95" s="44">
        <v>0</v>
      </c>
      <c r="H95" s="44">
        <v>0</v>
      </c>
      <c r="I95" s="42">
        <v>0</v>
      </c>
      <c r="J95" s="42">
        <v>0</v>
      </c>
      <c r="K95" s="58">
        <v>1.5</v>
      </c>
    </row>
    <row r="96" spans="1:11">
      <c r="A96" s="8"/>
      <c r="B96" s="42" t="s">
        <v>89</v>
      </c>
      <c r="C96" s="43">
        <v>2</v>
      </c>
      <c r="D96" s="44">
        <v>2</v>
      </c>
      <c r="E96" s="44">
        <v>1</v>
      </c>
      <c r="F96" s="44">
        <v>1</v>
      </c>
      <c r="G96" s="44">
        <v>0</v>
      </c>
      <c r="H96" s="44">
        <v>0</v>
      </c>
      <c r="I96" s="42">
        <v>0</v>
      </c>
      <c r="J96" s="59">
        <v>0</v>
      </c>
      <c r="K96" s="45">
        <v>2</v>
      </c>
    </row>
    <row r="97" spans="1:11" ht="17.25">
      <c r="A97" s="8"/>
      <c r="B97" s="47" t="s">
        <v>101</v>
      </c>
      <c r="C97" s="40">
        <v>11.5</v>
      </c>
      <c r="D97" s="41">
        <v>4.5</v>
      </c>
      <c r="E97" s="54">
        <v>2.5</v>
      </c>
      <c r="F97" s="41">
        <v>-0.5</v>
      </c>
      <c r="G97" s="41">
        <v>-1.5</v>
      </c>
      <c r="H97" s="41">
        <v>-2</v>
      </c>
      <c r="I97" s="48">
        <v>-2.5</v>
      </c>
      <c r="J97" s="40">
        <v>-2.5</v>
      </c>
      <c r="K97" s="51" t="s">
        <v>104</v>
      </c>
    </row>
    <row r="98" spans="1:11" ht="38.25">
      <c r="A98" s="8"/>
      <c r="B98" s="52" t="s">
        <v>102</v>
      </c>
      <c r="C98" s="40">
        <v>11.5</v>
      </c>
      <c r="D98" s="41">
        <v>9.8571428569999995</v>
      </c>
      <c r="E98" s="54">
        <v>8.2142857140000007</v>
      </c>
      <c r="F98" s="41">
        <v>6.5714285710000002</v>
      </c>
      <c r="G98" s="41">
        <v>4.9285714289999998</v>
      </c>
      <c r="H98" s="41">
        <v>3.2857142860000002</v>
      </c>
      <c r="I98" s="48">
        <v>1.6428571430000001</v>
      </c>
      <c r="J98" s="55">
        <v>2.22045E-15</v>
      </c>
      <c r="K98" s="51" t="s">
        <v>104</v>
      </c>
    </row>
    <row r="99" spans="1:1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spans="1:1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spans="1:1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spans="1:1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spans="1:1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  <row r="104" spans="1:1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spans="1:1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</row>
    <row r="106" spans="1:1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</row>
    <row r="107" spans="1:1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</row>
    <row r="108" spans="1:1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spans="1:1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</row>
    <row r="110" spans="1:1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</row>
    <row r="111" spans="1: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</row>
    <row r="112" spans="1:1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spans="1:1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</row>
    <row r="114" spans="1:1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</row>
    <row r="115" spans="1:1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</row>
    <row r="116" spans="1:1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spans="1:1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</row>
    <row r="118" spans="1:1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</row>
    <row r="119" spans="1:1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</row>
  </sheetData>
  <mergeCells count="6">
    <mergeCell ref="E2:I2"/>
    <mergeCell ref="B4:K4"/>
    <mergeCell ref="B21:E31"/>
    <mergeCell ref="B33:K33"/>
    <mergeCell ref="B62:K62"/>
    <mergeCell ref="B91:K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</vt:lpstr>
      <vt:lpstr>burdonchart - 1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Ct</dc:creator>
  <cp:lastModifiedBy>Mateo Ct</cp:lastModifiedBy>
  <dcterms:created xsi:type="dcterms:W3CDTF">2026-06-16T23:46:02Z</dcterms:created>
  <dcterms:modified xsi:type="dcterms:W3CDTF">2026-06-16T23:56:38Z</dcterms:modified>
</cp:coreProperties>
</file>