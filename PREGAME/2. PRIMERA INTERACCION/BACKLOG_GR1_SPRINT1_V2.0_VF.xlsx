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PER USUARIO\Downloads\"/>
    </mc:Choice>
  </mc:AlternateContent>
  <xr:revisionPtr revIDLastSave="0" documentId="8_{877D82D0-24F9-4FAC-84D7-CAABA25CA203}" xr6:coauthVersionLast="47" xr6:coauthVersionMax="47" xr10:uidLastSave="{00000000-0000-0000-0000-000000000000}"/>
  <bookViews>
    <workbookView xWindow="-120" yWindow="-120" windowWidth="20730" windowHeight="11040" activeTab="2" xr2:uid="{A111D90D-B440-4E8E-81C6-1471C63C5484}"/>
  </bookViews>
  <sheets>
    <sheet name="Backlog" sheetId="1" r:id="rId1"/>
    <sheet name="Sprint 1" sheetId="4" r:id="rId2"/>
    <sheet name="Burdonchant 1" sheetId="3" r:id="rId3"/>
  </sheets>
  <externalReferences>
    <externalReference r:id="rId4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0" i="4" l="1"/>
  <c r="J24" i="4"/>
  <c r="J18" i="4"/>
  <c r="J12" i="4"/>
  <c r="J6" i="4"/>
  <c r="C126" i="3"/>
  <c r="D126" i="3" s="1"/>
  <c r="E126" i="3" s="1"/>
  <c r="F126" i="3" s="1"/>
  <c r="G126" i="3" s="1"/>
  <c r="H126" i="3" s="1"/>
  <c r="I126" i="3" s="1"/>
  <c r="J126" i="3" s="1"/>
  <c r="J125" i="3"/>
  <c r="I125" i="3"/>
  <c r="H125" i="3"/>
  <c r="G125" i="3"/>
  <c r="F125" i="3"/>
  <c r="E125" i="3"/>
  <c r="D125" i="3"/>
  <c r="K125" i="3" s="1"/>
  <c r="C125" i="3"/>
  <c r="K124" i="3"/>
  <c r="K123" i="3"/>
  <c r="K122" i="3"/>
  <c r="K121" i="3"/>
  <c r="C97" i="3"/>
  <c r="D97" i="3" s="1"/>
  <c r="E97" i="3" s="1"/>
  <c r="F97" i="3" s="1"/>
  <c r="G97" i="3" s="1"/>
  <c r="H97" i="3" s="1"/>
  <c r="I97" i="3" s="1"/>
  <c r="J97" i="3" s="1"/>
  <c r="J96" i="3"/>
  <c r="I96" i="3"/>
  <c r="K96" i="3" s="1"/>
  <c r="H96" i="3"/>
  <c r="G96" i="3"/>
  <c r="F96" i="3"/>
  <c r="E96" i="3"/>
  <c r="D96" i="3"/>
  <c r="C96" i="3"/>
  <c r="K95" i="3"/>
  <c r="K94" i="3"/>
  <c r="K93" i="3"/>
  <c r="K92" i="3"/>
  <c r="J66" i="3"/>
  <c r="I66" i="3"/>
  <c r="H66" i="3"/>
  <c r="G66" i="3"/>
  <c r="F66" i="3"/>
  <c r="E66" i="3"/>
  <c r="D66" i="3"/>
  <c r="K66" i="3" s="1"/>
  <c r="C66" i="3"/>
  <c r="C67" i="3" s="1"/>
  <c r="D67" i="3" s="1"/>
  <c r="E67" i="3" s="1"/>
  <c r="F67" i="3" s="1"/>
  <c r="G67" i="3" s="1"/>
  <c r="H67" i="3" s="1"/>
  <c r="I67" i="3" s="1"/>
  <c r="J67" i="3" s="1"/>
  <c r="K65" i="3"/>
  <c r="K64" i="3"/>
  <c r="K63" i="3"/>
  <c r="K62" i="3"/>
  <c r="C40" i="3"/>
  <c r="D40" i="3" s="1"/>
  <c r="E40" i="3" s="1"/>
  <c r="F40" i="3" s="1"/>
  <c r="G40" i="3" s="1"/>
  <c r="H40" i="3" s="1"/>
  <c r="I40" i="3" s="1"/>
  <c r="J40" i="3" s="1"/>
  <c r="J39" i="3"/>
  <c r="I39" i="3"/>
  <c r="H39" i="3"/>
  <c r="G39" i="3"/>
  <c r="F39" i="3"/>
  <c r="E39" i="3"/>
  <c r="D39" i="3"/>
  <c r="K39" i="3" s="1"/>
  <c r="C39" i="3"/>
  <c r="K38" i="3"/>
  <c r="K37" i="3"/>
  <c r="K36" i="3"/>
  <c r="K35" i="3"/>
  <c r="C12" i="3"/>
  <c r="D12" i="3" s="1"/>
  <c r="E12" i="3" s="1"/>
  <c r="F12" i="3" s="1"/>
  <c r="G12" i="3" s="1"/>
  <c r="H12" i="3" s="1"/>
  <c r="I12" i="3" s="1"/>
  <c r="J12" i="3" s="1"/>
  <c r="J11" i="3"/>
  <c r="I11" i="3"/>
  <c r="H11" i="3"/>
  <c r="K11" i="3" s="1"/>
  <c r="G11" i="3"/>
  <c r="F11" i="3"/>
  <c r="E11" i="3"/>
  <c r="D11" i="3"/>
  <c r="C11" i="3"/>
  <c r="K10" i="3"/>
  <c r="K9" i="3"/>
  <c r="K8" i="3"/>
  <c r="K7" i="3"/>
  <c r="K6" i="3"/>
  <c r="L3" i="3" l="1"/>
</calcChain>
</file>

<file path=xl/sharedStrings.xml><?xml version="1.0" encoding="utf-8"?>
<sst xmlns="http://schemas.openxmlformats.org/spreadsheetml/2006/main" count="266" uniqueCount="123">
  <si>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</si>
  <si>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</si>
  <si>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</si>
  <si>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</si>
  <si>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</si>
  <si>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</si>
  <si>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</si>
  <si>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</si>
  <si>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</si>
  <si>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Navegacion por el sistema</t>
  </si>
  <si>
    <t>Administrador del sistema</t>
  </si>
  <si>
    <t>Acceder rápidamente a los diferentes módulos mediante un menú principal intuitivo.</t>
  </si>
  <si>
    <t>Ingresar de forma eficiente entre los modulos del sistema y usar el aplicativo</t>
  </si>
  <si>
    <t>-</t>
  </si>
  <si>
    <t>Alta</t>
  </si>
  <si>
    <t>Terminado</t>
  </si>
  <si>
    <t>REQ002</t>
  </si>
  <si>
    <t>Registro de Productos</t>
  </si>
  <si>
    <t>Ingresar productos diferenciando claramente sus variantes de tamaño, empaque, precio e imagen.</t>
  </si>
  <si>
    <t>Tomar pedidos con mayor rapidez y mantener un control preciso del inventario</t>
  </si>
  <si>
    <t>REQ003</t>
  </si>
  <si>
    <t xml:space="preserve">Gestion de Productos </t>
  </si>
  <si>
    <t>Modificar o eliminar los datos de los productos ingresados</t>
  </si>
  <si>
    <t>Mantener la información actualizada para evitar fallos en disponibilidad de productos</t>
  </si>
  <si>
    <t>REQ004</t>
  </si>
  <si>
    <t>Registro de Clientes</t>
  </si>
  <si>
    <t>Ingresar la informacion necesaria de cada cliente (Cedula, Nombre,etc)</t>
  </si>
  <si>
    <t>Identificar correctamente a los compradores para futuras ventas.</t>
  </si>
  <si>
    <t>REQ005</t>
  </si>
  <si>
    <t>Gestion y Actualizacion de la informacion de Clientes</t>
  </si>
  <si>
    <t xml:space="preserve">Modificar o eliminar los datos de los clientes registrados </t>
  </si>
  <si>
    <t xml:space="preserve">Mantener la información actualizada para evitar fallos en contacto </t>
  </si>
  <si>
    <t>SPRINT 1</t>
  </si>
  <si>
    <t>Navegacion ,Registro y Gestion de Productos y Logica de Clientes</t>
  </si>
  <si>
    <t>Necesito</t>
  </si>
  <si>
    <t>así podre...</t>
  </si>
  <si>
    <t>Prioridad</t>
  </si>
  <si>
    <t>Status</t>
  </si>
  <si>
    <t>Navegacion por el  Sistema</t>
  </si>
  <si>
    <t>Administrador del Sistema</t>
  </si>
  <si>
    <t xml:space="preserve">Acceder rápidamente a los diferentes módulos mediante un menú principal intuitivo.
</t>
  </si>
  <si>
    <t xml:space="preserve">Ingresar de forma eficiente entre los modulos del sistema y usar el aplicativo
</t>
  </si>
  <si>
    <t>#intentos</t>
  </si>
  <si>
    <t>Tareas</t>
  </si>
  <si>
    <t>Asignado</t>
  </si>
  <si>
    <t>Estimado</t>
  </si>
  <si>
    <t>REQ001-1</t>
  </si>
  <si>
    <t>Maquetación del Layout y Dashboard.</t>
  </si>
  <si>
    <t>Esteban Cuichan</t>
  </si>
  <si>
    <t>REQ001-2</t>
  </si>
  <si>
    <t>Configuración de Estilos e Identidad Visual.</t>
  </si>
  <si>
    <t>REQ001-3</t>
  </si>
  <si>
    <t>Programación de Eventos de Enrutamiento.</t>
  </si>
  <si>
    <t>REQ001-4</t>
  </si>
  <si>
    <t>Gestión de Estados y Memoria Visual.</t>
  </si>
  <si>
    <t>REQ001-5</t>
  </si>
  <si>
    <t>Pruebas de Integración de Navegación.</t>
  </si>
  <si>
    <t>SPRINT 1  - Navegacion, Registro de Productos y Logica Clientes</t>
  </si>
  <si>
    <t>SUMA TOTAL DE SPRINT</t>
  </si>
  <si>
    <t>REQ001 - NAVEGACIÓN POR EL SISTEMA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</si>
  <si>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</si>
  <si>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</si>
  <si>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</si>
  <si>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</si>
  <si>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</si>
  <si>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</si>
  <si>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</si>
  <si>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</si>
  <si>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</si>
  <si>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</si>
  <si>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REQ002 - REGISTRO DE PRODUCTOS</t>
  </si>
  <si>
    <t> </t>
  </si>
  <si>
    <t xml:space="preserve">Dia 7 </t>
  </si>
  <si>
    <t xml:space="preserve">Dia 6 </t>
  </si>
  <si>
    <t xml:space="preserve">Dia 5 </t>
  </si>
  <si>
    <t xml:space="preserve">Dia 4 </t>
  </si>
  <si>
    <t xml:space="preserve">Dia 3 </t>
  </si>
  <si>
    <t xml:space="preserve">Dia 2  </t>
  </si>
  <si>
    <t>REQ002-1</t>
  </si>
  <si>
    <t>REQ002-2</t>
  </si>
  <si>
    <t>REQ002-3</t>
  </si>
  <si>
    <t>REQ002-4</t>
  </si>
  <si>
    <t>REQ003 - GESTION DE PRODUCTOS</t>
  </si>
  <si>
    <t>REQ003-1</t>
  </si>
  <si>
    <t>0.5</t>
  </si>
  <si>
    <t>REQ003-2</t>
  </si>
  <si>
    <t>REQ003-3</t>
  </si>
  <si>
    <t>REQ003-4</t>
  </si>
  <si>
    <t>REQ004 - REGISTRO DE CLIENTES</t>
  </si>
  <si>
    <t xml:space="preserve">REQ005-ACTUALIZACION DE INFORMACION DE CLIENTES </t>
  </si>
  <si>
    <t xml:space="preserve">Dia 1 </t>
  </si>
  <si>
    <t>REQ004-1</t>
  </si>
  <si>
    <t>REQ004-2</t>
  </si>
  <si>
    <t>REQ004-3</t>
  </si>
  <si>
    <t>REQ004-4</t>
  </si>
  <si>
    <t>Ingresar productos diferenciando claramente sus variantes de tamaño, empaque, precio e imagen</t>
  </si>
  <si>
    <t xml:space="preserve">Diseñar clase Producto </t>
  </si>
  <si>
    <t>Johan Catota</t>
  </si>
  <si>
    <t>Implementar registros de productos</t>
  </si>
  <si>
    <t>Programacion de Guardado</t>
  </si>
  <si>
    <t>Guardado de Catalogo Productos</t>
  </si>
  <si>
    <t>Gestion de Productos</t>
  </si>
  <si>
    <t>Implementar consulta de Producttos</t>
  </si>
  <si>
    <t xml:space="preserve">Implementar CRUD Producto </t>
  </si>
  <si>
    <t xml:space="preserve">Conexión a la Vista Principal </t>
  </si>
  <si>
    <t>Actualizacion de Tabla Productos</t>
  </si>
  <si>
    <t>Registro de Cliente</t>
  </si>
  <si>
    <t>Ingresar los informacion necesaria de cada cliente (Cedula, Nombre,etc)</t>
  </si>
  <si>
    <t>Diseño de la interfaz para el registro y edición de datos del cliente.</t>
  </si>
  <si>
    <t>Eatan Ayala</t>
  </si>
  <si>
    <t xml:space="preserve">Aplicacion de la lógica de creación, modificación y eliminación de registros </t>
  </si>
  <si>
    <t>Integración del módulo de registros de clientes con otros módulos del sistema.</t>
  </si>
  <si>
    <t>Verificación y pruebas funcionales del proceso de registro de clientes.</t>
  </si>
  <si>
    <t xml:space="preserve">Modificar los datos de los clientes registrados </t>
  </si>
  <si>
    <t>Mantener la información actualizada para evitar fallos en contacto.</t>
  </si>
  <si>
    <t>REQ005-1</t>
  </si>
  <si>
    <t>Conexión de la GUI con los metodos para la modificacion</t>
  </si>
  <si>
    <t>REQ005-2</t>
  </si>
  <si>
    <t>Visualizacion y Relleno de Datos al ingresar ID en la GUI</t>
  </si>
  <si>
    <t>REQ005-3</t>
  </si>
  <si>
    <t>Bloquear Campo ID, y permitir modificacion de los otros datos</t>
  </si>
  <si>
    <t>REQ005-4</t>
  </si>
  <si>
    <t>Modificacion de la informacion en la base de 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</si>
</sst>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8"/>
      <color rgb="FF000000"/>
      <name val="Times New Roman"/>
      <family val="1"/>
    </font>
    <font>
      <sz val="8"/>
      <color theme="4"/>
      <name val="Times New Roman"/>
      <family val="1"/>
    </font>
    <font>
      <sz val="10"/>
      <color theme="1"/>
      <name val="Arial"/>
      <family val="2"/>
    </font>
    <font>
      <sz val="10"/>
      <color theme="4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Inconsolata"/>
    </font>
    <font>
      <sz val="11"/>
      <color rgb="FF242424"/>
      <name val="Aptos Narrow"/>
      <charset val="1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FC5E8"/>
        <bgColor rgb="FF9FC5E8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D966"/>
        <bgColor rgb="FF000000"/>
      </patternFill>
    </fill>
    <fill>
      <patternFill patternType="solid">
        <fgColor rgb="FFFFFFFF"/>
        <bgColor rgb="FFFFFFFF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60">
    <xf numFmtId="0" fontId="0" fillId="0" borderId="0" xfId="0"/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0" fontId="1" fillId="0" borderId="0" xfId="2"/>
    <xf numFmtId="0" fontId="1" fillId="2" borderId="3" xfId="2" applyFill="1" applyBorder="1"/>
    <xf numFmtId="0" fontId="1" fillId="2" borderId="4" xfId="2" applyFill="1" applyBorder="1" applyAlignment="1">
      <alignment horizontal="left" vertical="center" wrapText="1"/>
    </xf>
    <xf numFmtId="0" fontId="1" fillId="2" borderId="5" xfId="2" applyFill="1" applyBorder="1" applyAlignment="1">
      <alignment horizontal="left" vertical="center" wrapText="1"/>
    </xf>
    <xf numFmtId="0" fontId="1" fillId="2" borderId="6" xfId="2" applyFill="1" applyBorder="1" applyAlignment="1">
      <alignment horizontal="left" vertical="center" wrapText="1"/>
    </xf>
    <xf numFmtId="0" fontId="2" fillId="0" borderId="3" xfId="2" applyFont="1" applyBorder="1" applyAlignment="1">
      <alignment horizontal="center"/>
    </xf>
    <xf numFmtId="0" fontId="5" fillId="3" borderId="3" xfId="2" applyFont="1" applyFill="1" applyBorder="1"/>
    <xf numFmtId="0" fontId="5" fillId="3" borderId="3" xfId="2" applyFont="1" applyFill="1" applyBorder="1" applyAlignment="1">
      <alignment horizontal="left" wrapText="1"/>
    </xf>
    <xf numFmtId="0" fontId="5" fillId="3" borderId="3" xfId="2" applyFont="1" applyFill="1" applyBorder="1" applyAlignment="1">
      <alignment wrapText="1"/>
    </xf>
    <xf numFmtId="0" fontId="5" fillId="0" borderId="3" xfId="2" applyFont="1" applyBorder="1"/>
    <xf numFmtId="0" fontId="2" fillId="0" borderId="3" xfId="2" applyFont="1" applyBorder="1"/>
    <xf numFmtId="0" fontId="6" fillId="0" borderId="3" xfId="2" applyFont="1" applyBorder="1"/>
    <xf numFmtId="0" fontId="7" fillId="0" borderId="3" xfId="2" applyFont="1" applyBorder="1"/>
    <xf numFmtId="0" fontId="8" fillId="0" borderId="3" xfId="2" applyFont="1" applyBorder="1"/>
    <xf numFmtId="0" fontId="1" fillId="0" borderId="3" xfId="2" applyBorder="1"/>
    <xf numFmtId="0" fontId="6" fillId="0" borderId="3" xfId="2" applyFont="1" applyBorder="1" applyAlignment="1">
      <alignment horizontal="left" vertical="top"/>
    </xf>
    <xf numFmtId="0" fontId="5" fillId="0" borderId="3" xfId="2" applyFont="1" applyBorder="1" applyAlignment="1">
      <alignment horizontal="left"/>
    </xf>
    <xf numFmtId="0" fontId="0" fillId="0" borderId="0" xfId="2" applyFont="1" applyAlignment="1">
      <alignment horizontal="center"/>
    </xf>
    <xf numFmtId="0" fontId="1" fillId="0" borderId="2" xfId="2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5" fillId="0" borderId="0" xfId="2" applyFont="1"/>
    <xf numFmtId="0" fontId="1" fillId="0" borderId="2" xfId="2" applyBorder="1" applyAlignment="1">
      <alignment horizontal="center" vertical="center"/>
    </xf>
    <xf numFmtId="0" fontId="1" fillId="4" borderId="2" xfId="2" applyFill="1" applyBorder="1" applyAlignment="1">
      <alignment horizontal="center" vertical="center"/>
    </xf>
    <xf numFmtId="0" fontId="1" fillId="5" borderId="2" xfId="2" applyFill="1" applyBorder="1" applyAlignment="1">
      <alignment horizontal="center" vertical="center"/>
    </xf>
    <xf numFmtId="2" fontId="1" fillId="0" borderId="2" xfId="2" applyNumberFormat="1" applyBorder="1" applyAlignment="1">
      <alignment horizontal="center" vertical="center"/>
    </xf>
    <xf numFmtId="0" fontId="5" fillId="6" borderId="2" xfId="2" applyFont="1" applyFill="1" applyBorder="1" applyAlignment="1">
      <alignment horizontal="center" vertical="center"/>
    </xf>
    <xf numFmtId="0" fontId="0" fillId="5" borderId="2" xfId="2" applyFont="1" applyFill="1" applyBorder="1" applyAlignment="1">
      <alignment horizontal="center" vertical="center"/>
    </xf>
    <xf numFmtId="0" fontId="1" fillId="0" borderId="0" xfId="2" applyAlignment="1">
      <alignment horizontal="center" vertical="center"/>
    </xf>
    <xf numFmtId="0" fontId="9" fillId="0" borderId="0" xfId="2" applyFont="1" applyAlignment="1">
      <alignment horizontal="left" vertical="center" wrapText="1"/>
    </xf>
    <xf numFmtId="0" fontId="1" fillId="0" borderId="2" xfId="2" applyBorder="1" applyAlignment="1">
      <alignment horizontal="center"/>
    </xf>
    <xf numFmtId="0" fontId="10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" fillId="0" borderId="0" xfId="2" applyAlignment="1">
      <alignment wrapText="1"/>
    </xf>
    <xf numFmtId="0" fontId="0" fillId="0" borderId="0" xfId="2" applyFont="1"/>
    <xf numFmtId="0" fontId="0" fillId="0" borderId="7" xfId="2" applyFont="1" applyBorder="1" applyAlignment="1">
      <alignment horizontal="center"/>
    </xf>
    <xf numFmtId="0" fontId="0" fillId="0" borderId="8" xfId="2" applyFont="1" applyBorder="1" applyAlignment="1">
      <alignment horizontal="center"/>
    </xf>
    <xf numFmtId="0" fontId="0" fillId="0" borderId="9" xfId="2" applyFont="1" applyBorder="1" applyAlignment="1">
      <alignment horizontal="center"/>
    </xf>
    <xf numFmtId="0" fontId="10" fillId="0" borderId="10" xfId="0" applyFont="1" applyBorder="1" applyAlignment="1">
      <alignment horizontal="center" vertical="center" wrapText="1"/>
    </xf>
    <xf numFmtId="0" fontId="11" fillId="8" borderId="9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11" fontId="10" fillId="0" borderId="2" xfId="0" applyNumberFormat="1" applyFont="1" applyBorder="1" applyAlignment="1">
      <alignment horizontal="center" vertical="center"/>
    </xf>
    <xf numFmtId="0" fontId="12" fillId="0" borderId="0" xfId="0" applyFont="1"/>
    <xf numFmtId="0" fontId="0" fillId="0" borderId="0" xfId="2" applyFont="1" applyAlignment="1">
      <alignment wrapText="1"/>
    </xf>
    <xf numFmtId="0" fontId="0" fillId="0" borderId="2" xfId="2" applyFont="1" applyBorder="1" applyAlignment="1">
      <alignment horizontal="center"/>
    </xf>
    <xf numFmtId="0" fontId="10" fillId="0" borderId="12" xfId="0" applyFont="1" applyBorder="1" applyAlignment="1">
      <alignment horizontal="center" vertical="center"/>
    </xf>
    <xf numFmtId="0" fontId="5" fillId="0" borderId="3" xfId="2" applyFont="1" applyBorder="1" applyAlignment="1">
      <alignment horizontal="left"/>
    </xf>
    <xf numFmtId="0" fontId="13" fillId="0" borderId="3" xfId="2" applyFont="1" applyBorder="1"/>
    <xf numFmtId="0" fontId="5" fillId="0" borderId="13" xfId="2" applyFont="1" applyBorder="1"/>
    <xf numFmtId="0" fontId="1" fillId="0" borderId="13" xfId="2" applyBorder="1"/>
  </cellXfs>
  <cellStyles count="3">
    <cellStyle name="Normal" xfId="0" builtinId="0"/>
    <cellStyle name="Normal 2" xfId="2" xr:uid="{A0C9BF55-90A7-40DD-87E7-131BBC510E01}"/>
    <cellStyle name="Normal 3" xfId="1" xr:uid="{7F3645E8-A2D2-4DBC-95B6-73302D55E1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48"/>
          <c:y val="5.9575003594018003E-2"/>
          <c:w val="0.71638705161854765"/>
          <c:h val="0.86882300089847264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- 1'!$B$11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'[1]burdonchart - 1'!$B$11:$J$11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3.5</c:v>
                </c:pt>
                <c:pt idx="3">
                  <c:v>2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18-4150-BA72-FD5801C04E65}"/>
            </c:ext>
          </c:extLst>
        </c:ser>
        <c:ser>
          <c:idx val="1"/>
          <c:order val="1"/>
          <c:tx>
            <c:strRef>
              <c:f>'[1]burdonchart - 1'!$B$12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'[1]burdonchart - 1'!$B$12:$J$12</c:f>
              <c:numCache>
                <c:formatCode>General</c:formatCode>
                <c:ptCount val="9"/>
                <c:pt idx="0">
                  <c:v>0</c:v>
                </c:pt>
                <c:pt idx="1">
                  <c:v>11.5</c:v>
                </c:pt>
                <c:pt idx="2">
                  <c:v>9.8571428571428577</c:v>
                </c:pt>
                <c:pt idx="3">
                  <c:v>8.2142857142857153</c:v>
                </c:pt>
                <c:pt idx="4">
                  <c:v>6.571428571428573</c:v>
                </c:pt>
                <c:pt idx="5">
                  <c:v>4.9285714285714306</c:v>
                </c:pt>
                <c:pt idx="6">
                  <c:v>3.2857142857142878</c:v>
                </c:pt>
                <c:pt idx="7">
                  <c:v>1.642857142857145</c:v>
                </c:pt>
                <c:pt idx="8">
                  <c:v>2.2204460492503131E-15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18-4150-BA72-FD5801C04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3691280379510935"/>
          <c:y val="6.4945407791754339E-2"/>
          <c:w val="0.32647177466278937"/>
          <c:h val="9.009157320126913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- 1'!$B$39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'[1]burdonchart - 1'!$C$39:$J$39</c:f>
              <c:numCache>
                <c:formatCode>General</c:formatCode>
                <c:ptCount val="8"/>
                <c:pt idx="0">
                  <c:v>11</c:v>
                </c:pt>
                <c:pt idx="1">
                  <c:v>4.5</c:v>
                </c:pt>
                <c:pt idx="2">
                  <c:v>2.5</c:v>
                </c:pt>
                <c:pt idx="3">
                  <c:v>1</c:v>
                </c:pt>
                <c:pt idx="4">
                  <c:v>2.5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0C-45D8-B98A-A37934D92323}"/>
            </c:ext>
          </c:extLst>
        </c:ser>
        <c:ser>
          <c:idx val="1"/>
          <c:order val="1"/>
          <c:tx>
            <c:strRef>
              <c:f>'[1]burdonchart - 1'!$B$40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'[1]burdonchart - 1'!$C$40:$J$40</c:f>
              <c:numCache>
                <c:formatCode>General</c:formatCode>
                <c:ptCount val="8"/>
                <c:pt idx="0">
                  <c:v>11</c:v>
                </c:pt>
                <c:pt idx="1">
                  <c:v>9.4285714285714288</c:v>
                </c:pt>
                <c:pt idx="2">
                  <c:v>7.8571428571428577</c:v>
                </c:pt>
                <c:pt idx="3">
                  <c:v>6.2857142857142865</c:v>
                </c:pt>
                <c:pt idx="4">
                  <c:v>4.7142857142857153</c:v>
                </c:pt>
                <c:pt idx="5">
                  <c:v>3.1428571428571441</c:v>
                </c:pt>
                <c:pt idx="6">
                  <c:v>1.5714285714285727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0C-45D8-B98A-A37934D92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7978847313259284"/>
          <c:y val="9.4015285988905004E-2"/>
          <c:w val="0.34655011683084264"/>
          <c:h val="9.35202726582329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- 1'!$B$125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'[1]burdonchart - 1'!$C$125:$J$125</c:f>
              <c:numCache>
                <c:formatCode>General</c:formatCode>
                <c:ptCount val="8"/>
                <c:pt idx="0">
                  <c:v>5.5</c:v>
                </c:pt>
                <c:pt idx="1">
                  <c:v>5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97-469D-8701-BCA9EADF08C0}"/>
            </c:ext>
          </c:extLst>
        </c:ser>
        <c:ser>
          <c:idx val="1"/>
          <c:order val="1"/>
          <c:tx>
            <c:strRef>
              <c:f>'[1]burdonchart - 1'!$B$126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'[1]burdonchart - 1'!$C$126:$J$126</c:f>
              <c:numCache>
                <c:formatCode>General</c:formatCode>
                <c:ptCount val="8"/>
                <c:pt idx="0">
                  <c:v>5.5</c:v>
                </c:pt>
                <c:pt idx="1">
                  <c:v>4.7142857142857144</c:v>
                </c:pt>
                <c:pt idx="2">
                  <c:v>3.9285714285714288</c:v>
                </c:pt>
                <c:pt idx="3">
                  <c:v>3.1428571428571432</c:v>
                </c:pt>
                <c:pt idx="4">
                  <c:v>2.3571428571428577</c:v>
                </c:pt>
                <c:pt idx="5">
                  <c:v>1.5714285714285721</c:v>
                </c:pt>
                <c:pt idx="6">
                  <c:v>0.78571428571428636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97-469D-8701-BCA9EADF0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3570118071"/>
          <c:y val="8.4851710667693675E-2"/>
          <c:w val="0.85725389638909499"/>
          <c:h val="0.89700310797858562"/>
        </c:manualLayout>
      </c:layout>
      <c:lineChart>
        <c:grouping val="standard"/>
        <c:varyColors val="1"/>
        <c:ser>
          <c:idx val="0"/>
          <c:order val="0"/>
          <c:tx>
            <c:strRef>
              <c:f>'[1]burdonchart - 1'!$B$66</c:f>
              <c:strCache>
                <c:ptCount val="1"/>
                <c:pt idx="0">
                  <c:v>Horas Estimadas</c:v>
                </c:pt>
              </c:strCache>
            </c:strRef>
          </c:tx>
          <c:marker>
            <c:symbol val="none"/>
          </c:marker>
          <c:val>
            <c:numRef>
              <c:f>'[1]burdonchart - 1'!$C$66:$J$66</c:f>
              <c:numCache>
                <c:formatCode>General</c:formatCode>
                <c:ptCount val="8"/>
                <c:pt idx="0">
                  <c:v>11</c:v>
                </c:pt>
                <c:pt idx="1">
                  <c:v>1</c:v>
                </c:pt>
                <c:pt idx="2">
                  <c:v>3.5</c:v>
                </c:pt>
                <c:pt idx="3">
                  <c:v>2.5</c:v>
                </c:pt>
                <c:pt idx="4">
                  <c:v>1.5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72-4E33-9219-A78A8B4B1A24}"/>
            </c:ext>
          </c:extLst>
        </c:ser>
        <c:ser>
          <c:idx val="1"/>
          <c:order val="1"/>
          <c:tx>
            <c:strRef>
              <c:f>'[1]burdonchart - 1'!$B$67</c:f>
              <c:strCache>
                <c:ptCount val="1"/>
                <c:pt idx="0">
                  <c:v>Horas Estimadas
Restantes</c:v>
                </c:pt>
              </c:strCache>
            </c:strRef>
          </c:tx>
          <c:marker>
            <c:symbol val="none"/>
          </c:marker>
          <c:val>
            <c:numRef>
              <c:f>'[1]burdonchart - 1'!$C$67:$J$67</c:f>
              <c:numCache>
                <c:formatCode>General</c:formatCode>
                <c:ptCount val="8"/>
                <c:pt idx="0">
                  <c:v>20.5</c:v>
                </c:pt>
                <c:pt idx="1">
                  <c:v>18.928571428571427</c:v>
                </c:pt>
                <c:pt idx="2">
                  <c:v>17.357142857142854</c:v>
                </c:pt>
                <c:pt idx="3">
                  <c:v>15.785714285714283</c:v>
                </c:pt>
                <c:pt idx="4">
                  <c:v>14.214285714285712</c:v>
                </c:pt>
                <c:pt idx="5">
                  <c:v>12.642857142857141</c:v>
                </c:pt>
                <c:pt idx="6">
                  <c:v>11.071428571428569</c:v>
                </c:pt>
                <c:pt idx="7" formatCode="0.00E+00">
                  <c:v>9.4999999999999982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72-4E33-9219-A78A8B4B1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s-EC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4727066296497822"/>
          <c:y val="8.6611126227830668E-2"/>
          <c:w val="0.31106216756144234"/>
          <c:h val="0.1262011039280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'[1]burdonchart - 1'!$B$96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- 1'!$C$96:$J$96</c:f>
              <c:numCache>
                <c:formatCode>General</c:formatCode>
                <c:ptCount val="8"/>
                <c:pt idx="0">
                  <c:v>9</c:v>
                </c:pt>
                <c:pt idx="1">
                  <c:v>7</c:v>
                </c:pt>
                <c:pt idx="2">
                  <c:v>2</c:v>
                </c:pt>
                <c:pt idx="3">
                  <c:v>3</c:v>
                </c:pt>
                <c:pt idx="4">
                  <c:v>1</c:v>
                </c:pt>
                <c:pt idx="5">
                  <c:v>0.5</c:v>
                </c:pt>
                <c:pt idx="6">
                  <c:v>0.5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5D-4CCE-9A40-D8A125182372}"/>
            </c:ext>
          </c:extLst>
        </c:ser>
        <c:ser>
          <c:idx val="1"/>
          <c:order val="1"/>
          <c:tx>
            <c:strRef>
              <c:f>'[1]burdonchart - 1'!$B$97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'[1]burdonchart - 1'!$C$97:$J$97</c:f>
              <c:numCache>
                <c:formatCode>General</c:formatCode>
                <c:ptCount val="8"/>
                <c:pt idx="0">
                  <c:v>9</c:v>
                </c:pt>
                <c:pt idx="1">
                  <c:v>7.7142857142857144</c:v>
                </c:pt>
                <c:pt idx="2">
                  <c:v>6.4285714285714288</c:v>
                </c:pt>
                <c:pt idx="3">
                  <c:v>5.1428571428571432</c:v>
                </c:pt>
                <c:pt idx="4">
                  <c:v>3.8571428571428577</c:v>
                </c:pt>
                <c:pt idx="5">
                  <c:v>2.5714285714285721</c:v>
                </c:pt>
                <c:pt idx="6">
                  <c:v>1.2857142857142863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05D-4CCE-9A40-D8A125182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54512647"/>
        <c:axId val="1054514695"/>
      </c:lineChart>
      <c:catAx>
        <c:axId val="10545126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14695"/>
        <c:crosses val="autoZero"/>
        <c:auto val="1"/>
        <c:lblAlgn val="ctr"/>
        <c:lblOffset val="100"/>
        <c:noMultiLvlLbl val="0"/>
      </c:catAx>
      <c:valAx>
        <c:axId val="1054514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4512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472185</xdr:colOff>
      <xdr:row>12</xdr:row>
      <xdr:rowOff>169811</xdr:rowOff>
    </xdr:from>
    <xdr:ext cx="9065773" cy="3517077"/>
    <xdr:graphicFrame macro="">
      <xdr:nvGraphicFramePr>
        <xdr:cNvPr id="2" name="Chart 1" title="Gráfico">
          <a:extLst>
            <a:ext uri="{FF2B5EF4-FFF2-40B4-BE49-F238E27FC236}">
              <a16:creationId xmlns:a16="http://schemas.microsoft.com/office/drawing/2014/main" id="{D2DE779B-E804-41ED-924E-6E18D8B73B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2</xdr:col>
      <xdr:colOff>375429</xdr:colOff>
      <xdr:row>12</xdr:row>
      <xdr:rowOff>116242</xdr:rowOff>
    </xdr:from>
    <xdr:to>
      <xdr:col>8</xdr:col>
      <xdr:colOff>492450</xdr:colOff>
      <xdr:row>13</xdr:row>
      <xdr:rowOff>187907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489EF8D4-6E6F-474F-9A66-63E7CA66E3CD}"/>
            </a:ext>
          </a:extLst>
        </xdr:cNvPr>
        <xdr:cNvSpPr txBox="1"/>
      </xdr:nvSpPr>
      <xdr:spPr>
        <a:xfrm>
          <a:off x="2861454" y="2516542"/>
          <a:ext cx="5393871" cy="271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REQ001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NAVEGACIÓN POR EL SISTEMA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501730</xdr:colOff>
      <xdr:row>40</xdr:row>
      <xdr:rowOff>141112</xdr:rowOff>
    </xdr:from>
    <xdr:ext cx="8137406" cy="3517077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4B2CF0D5-891D-42F9-999E-8E42AD99D1D1}"/>
            </a:ext>
            <a:ext uri="{147F2762-F138-4A5C-976F-8EAC2B608ADB}">
              <a16:predDERef xmlns:a16="http://schemas.microsoft.com/office/drawing/2014/main" pred="{F7DB4B97-485A-6F7E-2651-A0CDB1EFA0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twoCellAnchor>
    <xdr:from>
      <xdr:col>2</xdr:col>
      <xdr:colOff>611481</xdr:colOff>
      <xdr:row>40</xdr:row>
      <xdr:rowOff>156790</xdr:rowOff>
    </xdr:from>
    <xdr:to>
      <xdr:col>8</xdr:col>
      <xdr:colOff>728502</xdr:colOff>
      <xdr:row>42</xdr:row>
      <xdr:rowOff>32468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316500A9-9424-45CD-8F16-14314D0AE1EF}"/>
            </a:ext>
          </a:extLst>
        </xdr:cNvPr>
        <xdr:cNvSpPr txBox="1"/>
      </xdr:nvSpPr>
      <xdr:spPr>
        <a:xfrm>
          <a:off x="3097506" y="8634040"/>
          <a:ext cx="5393871" cy="2757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REQ002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PRODUCTOS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2</xdr:col>
      <xdr:colOff>846666</xdr:colOff>
      <xdr:row>98</xdr:row>
      <xdr:rowOff>54876</xdr:rowOff>
    </xdr:from>
    <xdr:to>
      <xdr:col>8</xdr:col>
      <xdr:colOff>963687</xdr:colOff>
      <xdr:row>99</xdr:row>
      <xdr:rowOff>126541</xdr:rowOff>
    </xdr:to>
    <xdr:sp macro="" textlink="">
      <xdr:nvSpPr>
        <xdr:cNvPr id="6" name="CuadroTexto 7">
          <a:extLst>
            <a:ext uri="{FF2B5EF4-FFF2-40B4-BE49-F238E27FC236}">
              <a16:creationId xmlns:a16="http://schemas.microsoft.com/office/drawing/2014/main" id="{E30BCEFB-5B24-4D02-9BE6-0F681E615DCD}"/>
            </a:ext>
          </a:extLst>
        </xdr:cNvPr>
        <xdr:cNvSpPr txBox="1"/>
      </xdr:nvSpPr>
      <xdr:spPr>
        <a:xfrm>
          <a:off x="3323166" y="20809851"/>
          <a:ext cx="5403396" cy="271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REQ004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REGISTRO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752592</xdr:colOff>
      <xdr:row>126</xdr:row>
      <xdr:rowOff>188149</xdr:rowOff>
    </xdr:from>
    <xdr:ext cx="8137406" cy="3517077"/>
    <xdr:graphicFrame macro="">
      <xdr:nvGraphicFramePr>
        <xdr:cNvPr id="7" name="Chart 1" title="Gráfico">
          <a:extLst>
            <a:ext uri="{FF2B5EF4-FFF2-40B4-BE49-F238E27FC236}">
              <a16:creationId xmlns:a16="http://schemas.microsoft.com/office/drawing/2014/main" id="{313C7023-C98C-456E-A801-8C0A71142B0D}"/>
            </a:ext>
            <a:ext uri="{147F2762-F138-4A5C-976F-8EAC2B608ADB}">
              <a16:predDERef xmlns:a16="http://schemas.microsoft.com/office/drawing/2014/main" pred="{866283CF-5075-411C-ACCF-2188A73D4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twoCellAnchor>
    <xdr:from>
      <xdr:col>2</xdr:col>
      <xdr:colOff>603642</xdr:colOff>
      <xdr:row>127</xdr:row>
      <xdr:rowOff>15678</xdr:rowOff>
    </xdr:from>
    <xdr:to>
      <xdr:col>8</xdr:col>
      <xdr:colOff>720663</xdr:colOff>
      <xdr:row>128</xdr:row>
      <xdr:rowOff>87343</xdr:rowOff>
    </xdr:to>
    <xdr:sp macro="" textlink="">
      <xdr:nvSpPr>
        <xdr:cNvPr id="8" name="CuadroTexto 11">
          <a:extLst>
            <a:ext uri="{FF2B5EF4-FFF2-40B4-BE49-F238E27FC236}">
              <a16:creationId xmlns:a16="http://schemas.microsoft.com/office/drawing/2014/main" id="{0B150EE5-B9E7-41E6-BDFF-462F8A5AAB67}"/>
            </a:ext>
          </a:extLst>
        </xdr:cNvPr>
        <xdr:cNvSpPr txBox="1"/>
      </xdr:nvSpPr>
      <xdr:spPr>
        <a:xfrm>
          <a:off x="3089667" y="26819028"/>
          <a:ext cx="5393871" cy="271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REQ005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ACTUALIZACIÓN DE CLIENTES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oneCellAnchor>
    <xdr:from>
      <xdr:col>1</xdr:col>
      <xdr:colOff>1011296</xdr:colOff>
      <xdr:row>68</xdr:row>
      <xdr:rowOff>39198</xdr:rowOff>
    </xdr:from>
    <xdr:ext cx="8137406" cy="3517077"/>
    <xdr:graphicFrame macro="">
      <xdr:nvGraphicFramePr>
        <xdr:cNvPr id="9" name="Chart 1" title="Gráfico">
          <a:extLst>
            <a:ext uri="{FF2B5EF4-FFF2-40B4-BE49-F238E27FC236}">
              <a16:creationId xmlns:a16="http://schemas.microsoft.com/office/drawing/2014/main" id="{92F1BFAC-5D42-4E75-980B-04F0E2A6AD40}"/>
            </a:ext>
            <a:ext uri="{147F2762-F138-4A5C-976F-8EAC2B608ADB}">
              <a16:predDERef xmlns:a16="http://schemas.microsoft.com/office/drawing/2014/main" pred="{139B3D90-5A0C-4C87-B051-40939E8D6A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twoCellAnchor>
    <xdr:from>
      <xdr:col>2</xdr:col>
      <xdr:colOff>846666</xdr:colOff>
      <xdr:row>68</xdr:row>
      <xdr:rowOff>54876</xdr:rowOff>
    </xdr:from>
    <xdr:to>
      <xdr:col>8</xdr:col>
      <xdr:colOff>963687</xdr:colOff>
      <xdr:row>69</xdr:row>
      <xdr:rowOff>126541</xdr:rowOff>
    </xdr:to>
    <xdr:sp macro="" textlink="">
      <xdr:nvSpPr>
        <xdr:cNvPr id="10" name="CuadroTexto 10">
          <a:extLst>
            <a:ext uri="{FF2B5EF4-FFF2-40B4-BE49-F238E27FC236}">
              <a16:creationId xmlns:a16="http://schemas.microsoft.com/office/drawing/2014/main" id="{168D8FC6-A874-4C66-89D1-7E3ACE907592}"/>
            </a:ext>
          </a:extLst>
        </xdr:cNvPr>
        <xdr:cNvSpPr txBox="1"/>
      </xdr:nvSpPr>
      <xdr:spPr>
        <a:xfrm>
          <a:off x="3323166" y="14332851"/>
          <a:ext cx="5403396" cy="2716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EC" sz="1600" b="1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REQ003</a:t>
          </a:r>
          <a:r>
            <a:rPr lang="es-EC" sz="1600" b="1" baseline="0"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 - GESTION DE PRODUCTOS</a:t>
          </a:r>
          <a:endParaRPr lang="es-EC" sz="1600" b="1">
            <a:latin typeface="Calibri" panose="020F0502020204030204" pitchFamily="34" charset="0"/>
            <a:ea typeface="Calibri" panose="020F0502020204030204" pitchFamily="34" charset="0"/>
            <a:cs typeface="Calibri" panose="020F0502020204030204" pitchFamily="34" charset="0"/>
          </a:endParaRPr>
        </a:p>
      </xdr:txBody>
    </xdr:sp>
    <xdr:clientData/>
  </xdr:twoCellAnchor>
  <xdr:twoCellAnchor>
    <xdr:from>
      <xdr:col>1</xdr:col>
      <xdr:colOff>1562100</xdr:colOff>
      <xdr:row>99</xdr:row>
      <xdr:rowOff>104775</xdr:rowOff>
    </xdr:from>
    <xdr:to>
      <xdr:col>9</xdr:col>
      <xdr:colOff>600075</xdr:colOff>
      <xdr:row>116</xdr:row>
      <xdr:rowOff>142875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6B2E40A0-7089-482F-A0CA-560CB8F3847A}"/>
            </a:ext>
            <a:ext uri="{147F2762-F138-4A5C-976F-8EAC2B608ADB}">
              <a16:predDERef xmlns:a16="http://schemas.microsoft.com/office/drawing/2014/main" pred="{DC67EDCB-03A9-486F-BC57-AAB06B5C16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UPER%20USUARIO\Downloads\BACKLOG_GR1.xlsx" TargetMode="External"/><Relationship Id="rId1" Type="http://schemas.openxmlformats.org/officeDocument/2006/relationships/externalLinkPath" Target="BACKLOG_GR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cklog"/>
      <sheetName val="Sprints"/>
      <sheetName val="burdonchart - 1"/>
      <sheetName val="burdonchart - 2"/>
      <sheetName val="burdochart-3"/>
      <sheetName val="burdochart final"/>
    </sheetNames>
    <sheetDataSet>
      <sheetData sheetId="0"/>
      <sheetData sheetId="1"/>
      <sheetData sheetId="2">
        <row r="11">
          <cell r="B11" t="str">
            <v>Horas Estimadas</v>
          </cell>
          <cell r="C11">
            <v>11.5</v>
          </cell>
          <cell r="D11">
            <v>3.5</v>
          </cell>
          <cell r="E11">
            <v>2</v>
          </cell>
          <cell r="F11">
            <v>1</v>
          </cell>
          <cell r="G11">
            <v>3</v>
          </cell>
          <cell r="H11">
            <v>1</v>
          </cell>
          <cell r="I11">
            <v>2</v>
          </cell>
          <cell r="J11">
            <v>1</v>
          </cell>
        </row>
        <row r="12">
          <cell r="B12" t="str">
            <v>Horas Estimadas
Restantes</v>
          </cell>
          <cell r="C12">
            <v>11.5</v>
          </cell>
          <cell r="D12">
            <v>9.8571428571428577</v>
          </cell>
          <cell r="E12">
            <v>8.2142857142857153</v>
          </cell>
          <cell r="F12">
            <v>6.571428571428573</v>
          </cell>
          <cell r="G12">
            <v>4.9285714285714306</v>
          </cell>
          <cell r="H12">
            <v>3.2857142857142878</v>
          </cell>
          <cell r="I12">
            <v>1.642857142857145</v>
          </cell>
          <cell r="J12">
            <v>2.2204460492503131E-15</v>
          </cell>
        </row>
        <row r="39">
          <cell r="B39" t="str">
            <v>Horas Estimadas</v>
          </cell>
          <cell r="C39">
            <v>11</v>
          </cell>
          <cell r="D39">
            <v>4.5</v>
          </cell>
          <cell r="E39">
            <v>2.5</v>
          </cell>
          <cell r="F39">
            <v>1</v>
          </cell>
          <cell r="G39">
            <v>2.5</v>
          </cell>
          <cell r="H39">
            <v>0</v>
          </cell>
          <cell r="I39">
            <v>0</v>
          </cell>
          <cell r="J39">
            <v>1</v>
          </cell>
        </row>
        <row r="40">
          <cell r="B40" t="str">
            <v>Horas Estimadas
Restantes</v>
          </cell>
          <cell r="C40">
            <v>11</v>
          </cell>
          <cell r="D40">
            <v>9.4285714285714288</v>
          </cell>
          <cell r="E40">
            <v>7.8571428571428577</v>
          </cell>
          <cell r="F40">
            <v>6.2857142857142865</v>
          </cell>
          <cell r="G40">
            <v>4.7142857142857153</v>
          </cell>
          <cell r="H40">
            <v>3.1428571428571441</v>
          </cell>
          <cell r="I40">
            <v>1.5714285714285727</v>
          </cell>
          <cell r="J40">
            <v>0</v>
          </cell>
        </row>
        <row r="66">
          <cell r="B66" t="str">
            <v>Horas Estimadas</v>
          </cell>
          <cell r="C66">
            <v>11</v>
          </cell>
          <cell r="D66">
            <v>1</v>
          </cell>
          <cell r="E66">
            <v>3.5</v>
          </cell>
          <cell r="F66">
            <v>2.5</v>
          </cell>
          <cell r="G66">
            <v>1.5</v>
          </cell>
          <cell r="H66">
            <v>2</v>
          </cell>
          <cell r="I66">
            <v>1</v>
          </cell>
          <cell r="J66">
            <v>1</v>
          </cell>
        </row>
        <row r="67">
          <cell r="B67" t="str">
            <v>Horas Estimadas
Restantes</v>
          </cell>
          <cell r="C67">
            <v>20.5</v>
          </cell>
          <cell r="D67">
            <v>18.928571428571427</v>
          </cell>
          <cell r="E67">
            <v>17.357142857142854</v>
          </cell>
          <cell r="F67">
            <v>15.785714285714283</v>
          </cell>
          <cell r="G67">
            <v>14.214285714285712</v>
          </cell>
          <cell r="H67">
            <v>12.642857142857141</v>
          </cell>
          <cell r="I67">
            <v>11.071428571428569</v>
          </cell>
          <cell r="J67">
            <v>9.4999999999999982</v>
          </cell>
        </row>
        <row r="96">
          <cell r="B96" t="str">
            <v>Horas Estimadas</v>
          </cell>
          <cell r="C96">
            <v>9</v>
          </cell>
          <cell r="D96">
            <v>7</v>
          </cell>
          <cell r="E96">
            <v>2</v>
          </cell>
          <cell r="F96">
            <v>3</v>
          </cell>
          <cell r="G96">
            <v>1</v>
          </cell>
          <cell r="H96">
            <v>0.5</v>
          </cell>
          <cell r="I96">
            <v>0.5</v>
          </cell>
          <cell r="J96">
            <v>0</v>
          </cell>
        </row>
        <row r="97">
          <cell r="B97" t="str">
            <v>Horas Estimadas
Restantes</v>
          </cell>
          <cell r="C97">
            <v>9</v>
          </cell>
          <cell r="D97">
            <v>7.7142857142857144</v>
          </cell>
          <cell r="E97">
            <v>6.4285714285714288</v>
          </cell>
          <cell r="F97">
            <v>5.1428571428571432</v>
          </cell>
          <cell r="G97">
            <v>3.8571428571428577</v>
          </cell>
          <cell r="H97">
            <v>2.5714285714285721</v>
          </cell>
          <cell r="I97">
            <v>1.2857142857142863</v>
          </cell>
          <cell r="J97">
            <v>0</v>
          </cell>
        </row>
        <row r="125">
          <cell r="B125" t="str">
            <v>Horas Estimadas</v>
          </cell>
          <cell r="C125">
            <v>5.5</v>
          </cell>
          <cell r="D125">
            <v>5</v>
          </cell>
          <cell r="E125">
            <v>2</v>
          </cell>
          <cell r="F125">
            <v>3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</row>
        <row r="126">
          <cell r="B126" t="str">
            <v>Horas Estimadas
Restantes</v>
          </cell>
          <cell r="C126">
            <v>5.5</v>
          </cell>
          <cell r="D126">
            <v>4.7142857142857144</v>
          </cell>
          <cell r="E126">
            <v>3.9285714285714288</v>
          </cell>
          <cell r="F126">
            <v>3.1428571428571432</v>
          </cell>
          <cell r="G126">
            <v>2.3571428571428577</v>
          </cell>
          <cell r="H126">
            <v>1.5714285714285721</v>
          </cell>
          <cell r="I126">
            <v>0.78571428571428636</v>
          </cell>
          <cell r="J126">
            <v>0</v>
          </cell>
        </row>
      </sheetData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E2D70-D3B9-4C04-8DBD-B4E898AAD69B}">
  <dimension ref="A1:H6"/>
  <sheetViews>
    <sheetView workbookViewId="0">
      <selection activeCell="D13" sqref="D13"/>
    </sheetView>
  </sheetViews>
  <sheetFormatPr baseColWidth="10" defaultRowHeight="15" x14ac:dyDescent="0.25"/>
  <cols>
    <col min="1" max="1" width="32.140625" customWidth="1"/>
    <col min="2" max="2" width="39.42578125" customWidth="1"/>
    <col min="3" max="3" width="20.7109375" customWidth="1"/>
    <col min="4" max="4" width="65.5703125" customWidth="1"/>
    <col min="5" max="5" width="50.7109375" customWidth="1"/>
    <col min="6" max="6" width="21.140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 t="s">
        <v>14</v>
      </c>
      <c r="H2" s="2" t="s">
        <v>15</v>
      </c>
    </row>
    <row r="3" spans="1:8" ht="21" customHeight="1" x14ac:dyDescent="0.25">
      <c r="A3" s="2" t="s">
        <v>16</v>
      </c>
      <c r="B3" s="2" t="s">
        <v>17</v>
      </c>
      <c r="C3" s="2" t="s">
        <v>10</v>
      </c>
      <c r="D3" s="2" t="s">
        <v>18</v>
      </c>
      <c r="E3" s="2" t="s">
        <v>19</v>
      </c>
      <c r="F3" s="3" t="s">
        <v>13</v>
      </c>
      <c r="G3" s="2" t="s">
        <v>14</v>
      </c>
      <c r="H3" s="2" t="s">
        <v>15</v>
      </c>
    </row>
    <row r="4" spans="1:8" ht="23.25" customHeight="1" x14ac:dyDescent="0.25">
      <c r="A4" s="2" t="s">
        <v>20</v>
      </c>
      <c r="B4" s="2" t="s">
        <v>21</v>
      </c>
      <c r="C4" s="2" t="s">
        <v>10</v>
      </c>
      <c r="D4" s="2" t="s">
        <v>22</v>
      </c>
      <c r="E4" s="2" t="s">
        <v>23</v>
      </c>
      <c r="F4" s="3"/>
      <c r="G4" s="2" t="s">
        <v>14</v>
      </c>
      <c r="H4" s="2" t="s">
        <v>15</v>
      </c>
    </row>
    <row r="5" spans="1:8" ht="28.5" customHeight="1" x14ac:dyDescent="0.25">
      <c r="A5" s="2" t="s">
        <v>24</v>
      </c>
      <c r="B5" s="2" t="s">
        <v>25</v>
      </c>
      <c r="C5" s="2" t="s">
        <v>10</v>
      </c>
      <c r="D5" s="2" t="s">
        <v>26</v>
      </c>
      <c r="E5" s="2" t="s">
        <v>27</v>
      </c>
      <c r="F5" s="3" t="s">
        <v>13</v>
      </c>
      <c r="G5" s="2" t="s">
        <v>14</v>
      </c>
      <c r="H5" s="2" t="s">
        <v>15</v>
      </c>
    </row>
    <row r="6" spans="1:8" ht="18" customHeight="1" x14ac:dyDescent="0.25">
      <c r="A6" s="2" t="s">
        <v>28</v>
      </c>
      <c r="B6" s="2" t="s">
        <v>29</v>
      </c>
      <c r="C6" s="2" t="s">
        <v>10</v>
      </c>
      <c r="D6" s="2" t="s">
        <v>30</v>
      </c>
      <c r="E6" s="2" t="s">
        <v>31</v>
      </c>
      <c r="F6" s="3" t="s">
        <v>13</v>
      </c>
      <c r="G6" s="2" t="s">
        <v>14</v>
      </c>
      <c r="H6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C2BD-C330-44D0-A225-5EC0F6FB6377}">
  <dimension ref="A2:J34"/>
  <sheetViews>
    <sheetView workbookViewId="0">
      <selection activeCell="C36" sqref="C36"/>
    </sheetView>
  </sheetViews>
  <sheetFormatPr baseColWidth="10" defaultRowHeight="15" x14ac:dyDescent="0.25"/>
  <cols>
    <col min="3" max="3" width="43.7109375" customWidth="1"/>
    <col min="4" max="4" width="46.85546875" customWidth="1"/>
    <col min="5" max="5" width="44.5703125" customWidth="1"/>
    <col min="6" max="6" width="50.28515625" customWidth="1"/>
  </cols>
  <sheetData>
    <row r="2" spans="1:10" x14ac:dyDescent="0.25">
      <c r="A2" s="5" t="s">
        <v>32</v>
      </c>
      <c r="B2" s="6" t="s">
        <v>33</v>
      </c>
      <c r="C2" s="7"/>
      <c r="D2" s="7"/>
      <c r="E2" s="7"/>
      <c r="F2" s="7"/>
      <c r="G2" s="7"/>
      <c r="H2" s="7"/>
      <c r="I2" s="8"/>
      <c r="J2" s="4"/>
    </row>
    <row r="3" spans="1:10" x14ac:dyDescent="0.25">
      <c r="A3" s="4"/>
      <c r="B3" s="9" t="s">
        <v>0</v>
      </c>
      <c r="C3" s="9" t="s">
        <v>1</v>
      </c>
      <c r="D3" s="9" t="s">
        <v>2</v>
      </c>
      <c r="E3" s="9" t="s">
        <v>34</v>
      </c>
      <c r="F3" s="9" t="s">
        <v>35</v>
      </c>
      <c r="G3" s="9" t="s">
        <v>5</v>
      </c>
      <c r="H3" s="9" t="s">
        <v>36</v>
      </c>
      <c r="I3" s="9" t="s">
        <v>37</v>
      </c>
      <c r="J3" s="4"/>
    </row>
    <row r="4" spans="1:10" ht="36.75" customHeight="1" x14ac:dyDescent="0.25">
      <c r="A4" s="4"/>
      <c r="B4" s="10" t="s">
        <v>8</v>
      </c>
      <c r="C4" s="10" t="s">
        <v>38</v>
      </c>
      <c r="D4" s="10" t="s">
        <v>39</v>
      </c>
      <c r="E4" s="11" t="s">
        <v>40</v>
      </c>
      <c r="F4" s="12" t="s">
        <v>41</v>
      </c>
      <c r="G4" s="10" t="s">
        <v>42</v>
      </c>
      <c r="H4" s="10" t="s">
        <v>14</v>
      </c>
      <c r="I4" s="10" t="s">
        <v>15</v>
      </c>
      <c r="J4" s="4"/>
    </row>
    <row r="5" spans="1:10" x14ac:dyDescent="0.25">
      <c r="A5" s="4"/>
      <c r="B5" s="13"/>
      <c r="C5" s="14" t="s">
        <v>43</v>
      </c>
      <c r="D5" s="13"/>
      <c r="E5" s="13"/>
      <c r="F5" s="13"/>
      <c r="G5" s="14" t="s">
        <v>44</v>
      </c>
      <c r="H5" s="13"/>
      <c r="I5" s="14" t="s">
        <v>45</v>
      </c>
      <c r="J5" s="4"/>
    </row>
    <row r="6" spans="1:10" x14ac:dyDescent="0.25">
      <c r="A6" s="4"/>
      <c r="B6" s="15" t="s">
        <v>46</v>
      </c>
      <c r="C6" s="16" t="s">
        <v>47</v>
      </c>
      <c r="D6" s="17"/>
      <c r="E6" s="17"/>
      <c r="F6" s="17"/>
      <c r="G6" s="13" t="s">
        <v>48</v>
      </c>
      <c r="H6" s="13"/>
      <c r="I6" s="18">
        <v>1</v>
      </c>
      <c r="J6" s="4">
        <f>SUM(I6:I10)</f>
        <v>11.5</v>
      </c>
    </row>
    <row r="7" spans="1:10" x14ac:dyDescent="0.25">
      <c r="A7" s="4"/>
      <c r="B7" s="15" t="s">
        <v>49</v>
      </c>
      <c r="C7" s="16" t="s">
        <v>50</v>
      </c>
      <c r="D7" s="17"/>
      <c r="E7" s="17"/>
      <c r="F7" s="17"/>
      <c r="G7" s="13" t="s">
        <v>48</v>
      </c>
      <c r="H7" s="13"/>
      <c r="I7" s="18">
        <v>3</v>
      </c>
      <c r="J7" s="4"/>
    </row>
    <row r="8" spans="1:10" x14ac:dyDescent="0.25">
      <c r="A8" s="4"/>
      <c r="B8" s="15" t="s">
        <v>51</v>
      </c>
      <c r="C8" s="16" t="s">
        <v>52</v>
      </c>
      <c r="D8" s="17"/>
      <c r="E8" s="17"/>
      <c r="F8" s="17"/>
      <c r="G8" s="13" t="s">
        <v>48</v>
      </c>
      <c r="H8" s="13"/>
      <c r="I8" s="18">
        <v>4</v>
      </c>
      <c r="J8" s="4"/>
    </row>
    <row r="9" spans="1:10" x14ac:dyDescent="0.25">
      <c r="A9" s="4"/>
      <c r="B9" s="19" t="s">
        <v>53</v>
      </c>
      <c r="C9" s="20" t="s">
        <v>54</v>
      </c>
      <c r="D9" s="20"/>
      <c r="E9" s="20"/>
      <c r="F9" s="20"/>
      <c r="G9" s="13" t="s">
        <v>48</v>
      </c>
      <c r="H9" s="9"/>
      <c r="I9" s="18">
        <v>3</v>
      </c>
      <c r="J9" s="4"/>
    </row>
    <row r="10" spans="1:10" x14ac:dyDescent="0.25">
      <c r="A10" s="4"/>
      <c r="B10" s="19" t="s">
        <v>55</v>
      </c>
      <c r="C10" s="20" t="s">
        <v>56</v>
      </c>
      <c r="D10" s="20"/>
      <c r="E10" s="20"/>
      <c r="F10" s="20"/>
      <c r="G10" s="13" t="s">
        <v>48</v>
      </c>
      <c r="H10" s="9"/>
      <c r="I10" s="18">
        <v>0.5</v>
      </c>
      <c r="J10" s="4"/>
    </row>
    <row r="11" spans="1:10" ht="48" customHeight="1" x14ac:dyDescent="0.25">
      <c r="A11" s="4"/>
      <c r="B11" s="10" t="s">
        <v>16</v>
      </c>
      <c r="C11" s="10" t="s">
        <v>17</v>
      </c>
      <c r="D11" s="10" t="s">
        <v>39</v>
      </c>
      <c r="E11" s="11" t="s">
        <v>95</v>
      </c>
      <c r="F11" s="12" t="s">
        <v>19</v>
      </c>
      <c r="G11" s="10" t="s">
        <v>42</v>
      </c>
      <c r="H11" s="10" t="s">
        <v>14</v>
      </c>
      <c r="I11" s="10" t="s">
        <v>15</v>
      </c>
      <c r="J11" s="4"/>
    </row>
    <row r="12" spans="1:10" x14ac:dyDescent="0.25">
      <c r="A12" s="4"/>
      <c r="B12" s="19"/>
      <c r="C12" s="14" t="s">
        <v>43</v>
      </c>
      <c r="D12" s="56"/>
      <c r="E12" s="56"/>
      <c r="F12" s="56"/>
      <c r="G12" s="14" t="s">
        <v>44</v>
      </c>
      <c r="H12" s="9"/>
      <c r="I12" s="18"/>
      <c r="J12" s="4">
        <f>SUM(I12:I16)</f>
        <v>11</v>
      </c>
    </row>
    <row r="13" spans="1:10" x14ac:dyDescent="0.25">
      <c r="A13" s="4"/>
      <c r="B13" s="15" t="s">
        <v>78</v>
      </c>
      <c r="C13" s="16" t="s">
        <v>96</v>
      </c>
      <c r="D13" s="17"/>
      <c r="E13" s="17"/>
      <c r="F13" s="17"/>
      <c r="G13" s="13" t="s">
        <v>97</v>
      </c>
      <c r="H13" s="9"/>
      <c r="I13" s="18">
        <v>1.5</v>
      </c>
      <c r="J13" s="4"/>
    </row>
    <row r="14" spans="1:10" x14ac:dyDescent="0.25">
      <c r="A14" s="4"/>
      <c r="B14" s="15" t="s">
        <v>79</v>
      </c>
      <c r="C14" s="16" t="s">
        <v>98</v>
      </c>
      <c r="D14" s="17"/>
      <c r="E14" s="17"/>
      <c r="F14" s="17"/>
      <c r="G14" s="13" t="s">
        <v>97</v>
      </c>
      <c r="H14" s="9"/>
      <c r="I14" s="18">
        <v>4</v>
      </c>
      <c r="J14" s="4"/>
    </row>
    <row r="15" spans="1:10" x14ac:dyDescent="0.25">
      <c r="A15" s="4"/>
      <c r="B15" s="15" t="s">
        <v>80</v>
      </c>
      <c r="C15" s="16" t="s">
        <v>99</v>
      </c>
      <c r="D15" s="17"/>
      <c r="E15" s="17"/>
      <c r="F15" s="17"/>
      <c r="G15" s="13" t="s">
        <v>97</v>
      </c>
      <c r="H15" s="9"/>
      <c r="I15" s="18">
        <v>3</v>
      </c>
      <c r="J15" s="4"/>
    </row>
    <row r="16" spans="1:10" x14ac:dyDescent="0.25">
      <c r="A16" s="4"/>
      <c r="B16" s="15" t="s">
        <v>81</v>
      </c>
      <c r="C16" s="16" t="s">
        <v>100</v>
      </c>
      <c r="D16" s="17"/>
      <c r="E16" s="17"/>
      <c r="F16" s="17"/>
      <c r="G16" s="13" t="s">
        <v>97</v>
      </c>
      <c r="H16" s="9"/>
      <c r="I16" s="18">
        <v>2.5</v>
      </c>
      <c r="J16" s="4"/>
    </row>
    <row r="17" spans="1:10" ht="47.25" customHeight="1" x14ac:dyDescent="0.25">
      <c r="A17" s="4"/>
      <c r="B17" s="10" t="s">
        <v>20</v>
      </c>
      <c r="C17" s="10" t="s">
        <v>101</v>
      </c>
      <c r="D17" s="10" t="s">
        <v>39</v>
      </c>
      <c r="E17" s="11" t="s">
        <v>22</v>
      </c>
      <c r="F17" s="12" t="s">
        <v>23</v>
      </c>
      <c r="G17" s="10" t="s">
        <v>42</v>
      </c>
      <c r="H17" s="10" t="s">
        <v>14</v>
      </c>
      <c r="I17" s="10" t="s">
        <v>15</v>
      </c>
      <c r="J17" s="4"/>
    </row>
    <row r="18" spans="1:10" x14ac:dyDescent="0.25">
      <c r="A18" s="4"/>
      <c r="B18" s="13"/>
      <c r="C18" s="14" t="s">
        <v>43</v>
      </c>
      <c r="D18" s="13"/>
      <c r="E18" s="13"/>
      <c r="F18" s="13"/>
      <c r="G18" s="14" t="s">
        <v>44</v>
      </c>
      <c r="H18" s="13"/>
      <c r="I18" s="14" t="s">
        <v>45</v>
      </c>
      <c r="J18" s="4">
        <f>SUM(I18:I22)</f>
        <v>11</v>
      </c>
    </row>
    <row r="19" spans="1:10" x14ac:dyDescent="0.25">
      <c r="A19" s="4"/>
      <c r="B19" s="15" t="s">
        <v>83</v>
      </c>
      <c r="C19" s="16" t="s">
        <v>102</v>
      </c>
      <c r="D19" s="17"/>
      <c r="E19" s="17"/>
      <c r="F19" s="17"/>
      <c r="G19" s="13" t="s">
        <v>97</v>
      </c>
      <c r="H19" s="18"/>
      <c r="I19" s="18">
        <v>1.5</v>
      </c>
      <c r="J19" s="4"/>
    </row>
    <row r="20" spans="1:10" x14ac:dyDescent="0.25">
      <c r="A20" s="4"/>
      <c r="B20" s="15" t="s">
        <v>85</v>
      </c>
      <c r="C20" s="16" t="s">
        <v>103</v>
      </c>
      <c r="D20" s="17"/>
      <c r="E20" s="17"/>
      <c r="F20" s="17"/>
      <c r="G20" s="13" t="s">
        <v>97</v>
      </c>
      <c r="H20" s="18"/>
      <c r="I20" s="18">
        <v>4</v>
      </c>
      <c r="J20" s="4"/>
    </row>
    <row r="21" spans="1:10" x14ac:dyDescent="0.25">
      <c r="A21" s="4"/>
      <c r="B21" s="15" t="s">
        <v>86</v>
      </c>
      <c r="C21" s="16" t="s">
        <v>104</v>
      </c>
      <c r="D21" s="17"/>
      <c r="E21" s="17"/>
      <c r="F21" s="17"/>
      <c r="G21" s="13" t="s">
        <v>97</v>
      </c>
      <c r="H21" s="18"/>
      <c r="I21" s="18">
        <v>3</v>
      </c>
      <c r="J21" s="4"/>
    </row>
    <row r="22" spans="1:10" x14ac:dyDescent="0.25">
      <c r="A22" s="4"/>
      <c r="B22" s="15" t="s">
        <v>87</v>
      </c>
      <c r="C22" s="16" t="s">
        <v>105</v>
      </c>
      <c r="D22" s="17"/>
      <c r="E22" s="17"/>
      <c r="F22" s="17"/>
      <c r="G22" s="13" t="s">
        <v>97</v>
      </c>
      <c r="H22" s="18"/>
      <c r="I22" s="18">
        <v>2.5</v>
      </c>
      <c r="J22" s="4"/>
    </row>
    <row r="23" spans="1:10" ht="37.5" customHeight="1" x14ac:dyDescent="0.25">
      <c r="A23" s="4"/>
      <c r="B23" s="10" t="s">
        <v>24</v>
      </c>
      <c r="C23" s="10" t="s">
        <v>106</v>
      </c>
      <c r="D23" s="10" t="s">
        <v>39</v>
      </c>
      <c r="E23" s="11" t="s">
        <v>107</v>
      </c>
      <c r="F23" s="10" t="s">
        <v>27</v>
      </c>
      <c r="G23" s="10" t="s">
        <v>42</v>
      </c>
      <c r="H23" s="10" t="s">
        <v>14</v>
      </c>
      <c r="I23" s="10" t="s">
        <v>15</v>
      </c>
      <c r="J23" s="4"/>
    </row>
    <row r="24" spans="1:10" x14ac:dyDescent="0.25">
      <c r="A24" s="4"/>
      <c r="B24" s="18"/>
      <c r="C24" s="57" t="s">
        <v>43</v>
      </c>
      <c r="D24" s="18"/>
      <c r="E24" s="18"/>
      <c r="F24" s="18"/>
      <c r="G24" s="14" t="s">
        <v>44</v>
      </c>
      <c r="H24" s="18"/>
      <c r="I24" s="14" t="s">
        <v>45</v>
      </c>
      <c r="J24" s="4">
        <f>SUM(I24:I28)</f>
        <v>9</v>
      </c>
    </row>
    <row r="25" spans="1:10" x14ac:dyDescent="0.25">
      <c r="A25" s="4"/>
      <c r="B25" s="15" t="s">
        <v>91</v>
      </c>
      <c r="C25" s="16" t="s">
        <v>108</v>
      </c>
      <c r="D25" s="17"/>
      <c r="E25" s="17"/>
      <c r="F25" s="17"/>
      <c r="G25" s="13" t="s">
        <v>109</v>
      </c>
      <c r="H25" s="18"/>
      <c r="I25" s="18">
        <v>3.5</v>
      </c>
      <c r="J25" s="4"/>
    </row>
    <row r="26" spans="1:10" x14ac:dyDescent="0.25">
      <c r="A26" s="4"/>
      <c r="B26" s="15" t="s">
        <v>92</v>
      </c>
      <c r="C26" s="16" t="s">
        <v>110</v>
      </c>
      <c r="D26" s="17"/>
      <c r="E26" s="17"/>
      <c r="F26" s="17"/>
      <c r="G26" s="13" t="s">
        <v>109</v>
      </c>
      <c r="H26" s="18"/>
      <c r="I26" s="18">
        <v>2</v>
      </c>
      <c r="J26" s="4"/>
    </row>
    <row r="27" spans="1:10" x14ac:dyDescent="0.25">
      <c r="A27" s="4"/>
      <c r="B27" s="15" t="s">
        <v>93</v>
      </c>
      <c r="C27" s="16" t="s">
        <v>111</v>
      </c>
      <c r="D27" s="17"/>
      <c r="E27" s="17"/>
      <c r="F27" s="17"/>
      <c r="G27" s="13" t="s">
        <v>109</v>
      </c>
      <c r="H27" s="18"/>
      <c r="I27" s="18">
        <v>2</v>
      </c>
      <c r="J27" s="4"/>
    </row>
    <row r="28" spans="1:10" x14ac:dyDescent="0.25">
      <c r="A28" s="4"/>
      <c r="B28" s="15" t="s">
        <v>94</v>
      </c>
      <c r="C28" s="16" t="s">
        <v>112</v>
      </c>
      <c r="D28" s="17"/>
      <c r="E28" s="17"/>
      <c r="F28" s="17"/>
      <c r="G28" s="13" t="s">
        <v>109</v>
      </c>
      <c r="H28" s="18"/>
      <c r="I28" s="18">
        <v>1.5</v>
      </c>
      <c r="J28" s="4"/>
    </row>
    <row r="29" spans="1:10" ht="36.75" customHeight="1" x14ac:dyDescent="0.25">
      <c r="A29" s="4"/>
      <c r="B29" s="10" t="s">
        <v>28</v>
      </c>
      <c r="C29" s="10" t="s">
        <v>29</v>
      </c>
      <c r="D29" s="10" t="s">
        <v>39</v>
      </c>
      <c r="E29" s="11" t="s">
        <v>113</v>
      </c>
      <c r="F29" s="12" t="s">
        <v>114</v>
      </c>
      <c r="G29" s="10" t="s">
        <v>42</v>
      </c>
      <c r="H29" s="10" t="s">
        <v>14</v>
      </c>
      <c r="I29" s="10" t="s">
        <v>15</v>
      </c>
      <c r="J29" s="4"/>
    </row>
    <row r="30" spans="1:10" x14ac:dyDescent="0.25">
      <c r="A30" s="4"/>
      <c r="B30" s="18"/>
      <c r="C30" s="18" t="s">
        <v>43</v>
      </c>
      <c r="D30" s="18"/>
      <c r="E30" s="18"/>
      <c r="F30" s="18"/>
      <c r="G30" s="14" t="s">
        <v>44</v>
      </c>
      <c r="H30" s="18"/>
      <c r="I30" s="14" t="s">
        <v>45</v>
      </c>
      <c r="J30" s="4">
        <f>SUM(I30:I34)</f>
        <v>5.5</v>
      </c>
    </row>
    <row r="31" spans="1:10" x14ac:dyDescent="0.25">
      <c r="A31" s="4"/>
      <c r="B31" s="15" t="s">
        <v>115</v>
      </c>
      <c r="C31" s="16" t="s">
        <v>116</v>
      </c>
      <c r="D31" s="17"/>
      <c r="E31" s="17"/>
      <c r="F31" s="17"/>
      <c r="G31" s="13" t="s">
        <v>109</v>
      </c>
      <c r="H31" s="18"/>
      <c r="I31" s="18">
        <v>1</v>
      </c>
      <c r="J31" s="4"/>
    </row>
    <row r="32" spans="1:10" x14ac:dyDescent="0.25">
      <c r="A32" s="4"/>
      <c r="B32" s="15" t="s">
        <v>117</v>
      </c>
      <c r="C32" s="16" t="s">
        <v>118</v>
      </c>
      <c r="D32" s="17"/>
      <c r="E32" s="17"/>
      <c r="F32" s="17"/>
      <c r="G32" s="13" t="s">
        <v>109</v>
      </c>
      <c r="H32" s="18"/>
      <c r="I32" s="18">
        <v>1.5</v>
      </c>
      <c r="J32" s="4"/>
    </row>
    <row r="33" spans="1:10" x14ac:dyDescent="0.25">
      <c r="A33" s="4"/>
      <c r="B33" s="15" t="s">
        <v>119</v>
      </c>
      <c r="C33" s="16" t="s">
        <v>120</v>
      </c>
      <c r="D33" s="17"/>
      <c r="E33" s="17"/>
      <c r="F33" s="17"/>
      <c r="G33" s="13" t="s">
        <v>109</v>
      </c>
      <c r="H33" s="18"/>
      <c r="I33" s="18">
        <v>1</v>
      </c>
      <c r="J33" s="4"/>
    </row>
    <row r="34" spans="1:10" x14ac:dyDescent="0.25">
      <c r="A34" s="4"/>
      <c r="B34" s="15" t="s">
        <v>121</v>
      </c>
      <c r="C34" s="16" t="s">
        <v>122</v>
      </c>
      <c r="D34" s="17"/>
      <c r="E34" s="17"/>
      <c r="F34" s="17"/>
      <c r="G34" s="58" t="s">
        <v>109</v>
      </c>
      <c r="H34" s="59"/>
      <c r="I34" s="59">
        <v>2</v>
      </c>
      <c r="J34" s="4"/>
    </row>
  </sheetData>
  <mergeCells count="22">
    <mergeCell ref="C31:F31"/>
    <mergeCell ref="C32:F32"/>
    <mergeCell ref="C33:F33"/>
    <mergeCell ref="C34:F34"/>
    <mergeCell ref="C21:F21"/>
    <mergeCell ref="C22:F22"/>
    <mergeCell ref="C25:F25"/>
    <mergeCell ref="C26:F26"/>
    <mergeCell ref="C27:F27"/>
    <mergeCell ref="C28:F28"/>
    <mergeCell ref="C13:F13"/>
    <mergeCell ref="C14:F14"/>
    <mergeCell ref="C15:F15"/>
    <mergeCell ref="C16:F16"/>
    <mergeCell ref="C19:F19"/>
    <mergeCell ref="C20:F20"/>
    <mergeCell ref="B2:I2"/>
    <mergeCell ref="C6:F6"/>
    <mergeCell ref="C7:F7"/>
    <mergeCell ref="C8:F8"/>
    <mergeCell ref="C9:F9"/>
    <mergeCell ref="C10:F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5347C-4D67-4D25-8F96-7E94323F24B6}">
  <dimension ref="A2:L126"/>
  <sheetViews>
    <sheetView tabSelected="1" workbookViewId="0">
      <selection activeCell="B101" sqref="B101"/>
    </sheetView>
  </sheetViews>
  <sheetFormatPr baseColWidth="10" defaultRowHeight="15" x14ac:dyDescent="0.25"/>
  <cols>
    <col min="1" max="1" width="12.5703125" style="4" customWidth="1"/>
    <col min="2" max="2" width="24.7109375" style="4" customWidth="1"/>
    <col min="3" max="3" width="12.5703125" style="4" customWidth="1"/>
    <col min="4" max="4" width="16.28515625" style="4" customWidth="1"/>
    <col min="5" max="8" width="12.5703125" style="4" customWidth="1"/>
    <col min="9" max="9" width="16.7109375" style="4" bestFit="1" customWidth="1"/>
    <col min="10" max="10" width="16.28515625" style="4" bestFit="1" customWidth="1"/>
    <col min="11" max="11" width="13" style="4" bestFit="1" customWidth="1"/>
    <col min="12" max="12" width="25.5703125" style="4" customWidth="1"/>
  </cols>
  <sheetData>
    <row r="2" spans="1:12" x14ac:dyDescent="0.25">
      <c r="E2" s="21" t="s">
        <v>57</v>
      </c>
      <c r="F2" s="21"/>
      <c r="G2" s="21"/>
      <c r="H2" s="21"/>
      <c r="I2" s="21"/>
      <c r="L2" s="4" t="s">
        <v>58</v>
      </c>
    </row>
    <row r="3" spans="1:12" x14ac:dyDescent="0.25">
      <c r="L3" s="4">
        <f>SUM(K11,K39,K66,K96,K125)</f>
        <v>61.5</v>
      </c>
    </row>
    <row r="4" spans="1:12" x14ac:dyDescent="0.25">
      <c r="B4" s="22" t="s">
        <v>59</v>
      </c>
      <c r="C4" s="22"/>
      <c r="D4" s="22"/>
      <c r="E4" s="22"/>
      <c r="F4" s="22"/>
      <c r="G4" s="22"/>
      <c r="H4" s="22"/>
      <c r="I4" s="22"/>
      <c r="J4" s="22"/>
      <c r="K4" s="22"/>
    </row>
    <row r="5" spans="1:12" x14ac:dyDescent="0.25">
      <c r="B5" s="23"/>
      <c r="C5" s="23" t="s">
        <v>45</v>
      </c>
      <c r="D5" s="23" t="s">
        <v>60</v>
      </c>
      <c r="E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K5" s="23" t="s">
        <v>67</v>
      </c>
    </row>
    <row r="6" spans="1:12" x14ac:dyDescent="0.25">
      <c r="A6" s="24"/>
      <c r="B6" s="25" t="s">
        <v>46</v>
      </c>
      <c r="C6" s="26">
        <v>1</v>
      </c>
      <c r="D6" s="25">
        <v>0</v>
      </c>
      <c r="E6" s="25">
        <v>0</v>
      </c>
      <c r="F6" s="25">
        <v>0</v>
      </c>
      <c r="G6" s="25">
        <v>0</v>
      </c>
      <c r="H6" s="25">
        <v>0</v>
      </c>
      <c r="I6" s="25">
        <v>0</v>
      </c>
      <c r="J6" s="25">
        <v>1</v>
      </c>
      <c r="K6" s="27">
        <f>SUM(D6:J6)</f>
        <v>1</v>
      </c>
    </row>
    <row r="7" spans="1:12" x14ac:dyDescent="0.25">
      <c r="A7" s="24"/>
      <c r="B7" s="25" t="s">
        <v>49</v>
      </c>
      <c r="C7" s="26">
        <v>3</v>
      </c>
      <c r="D7" s="25">
        <v>0</v>
      </c>
      <c r="E7" s="25">
        <v>0</v>
      </c>
      <c r="F7" s="25">
        <v>0</v>
      </c>
      <c r="G7" s="25">
        <v>1</v>
      </c>
      <c r="H7" s="25">
        <v>1</v>
      </c>
      <c r="I7" s="25">
        <v>1</v>
      </c>
      <c r="J7" s="25">
        <v>0</v>
      </c>
      <c r="K7" s="27">
        <f t="shared" ref="K7:K10" si="0">SUM(D7:J7)</f>
        <v>3</v>
      </c>
    </row>
    <row r="8" spans="1:12" x14ac:dyDescent="0.25">
      <c r="B8" s="25" t="s">
        <v>51</v>
      </c>
      <c r="C8" s="26">
        <v>4</v>
      </c>
      <c r="D8" s="25">
        <v>1</v>
      </c>
      <c r="E8" s="25">
        <v>2</v>
      </c>
      <c r="F8" s="25">
        <v>1</v>
      </c>
      <c r="G8" s="25">
        <v>1</v>
      </c>
      <c r="H8" s="25">
        <v>0</v>
      </c>
      <c r="I8" s="25">
        <v>0</v>
      </c>
      <c r="J8" s="25">
        <v>0</v>
      </c>
      <c r="K8" s="27">
        <f t="shared" si="0"/>
        <v>5</v>
      </c>
    </row>
    <row r="9" spans="1:12" x14ac:dyDescent="0.25">
      <c r="B9" s="25" t="s">
        <v>53</v>
      </c>
      <c r="C9" s="26">
        <v>3</v>
      </c>
      <c r="D9" s="25">
        <v>2</v>
      </c>
      <c r="E9" s="25">
        <v>0</v>
      </c>
      <c r="F9" s="25">
        <v>0</v>
      </c>
      <c r="G9" s="25">
        <v>1</v>
      </c>
      <c r="H9" s="25">
        <v>0</v>
      </c>
      <c r="I9" s="25">
        <v>1</v>
      </c>
      <c r="J9" s="25">
        <v>0</v>
      </c>
      <c r="K9" s="27">
        <f t="shared" si="0"/>
        <v>4</v>
      </c>
    </row>
    <row r="10" spans="1:12" x14ac:dyDescent="0.25">
      <c r="B10" s="25" t="s">
        <v>55</v>
      </c>
      <c r="C10" s="26">
        <v>0.5</v>
      </c>
      <c r="D10" s="28">
        <v>0.5</v>
      </c>
      <c r="E10" s="25">
        <v>0</v>
      </c>
      <c r="F10" s="25">
        <v>0</v>
      </c>
      <c r="G10" s="25">
        <v>0</v>
      </c>
      <c r="H10" s="25">
        <v>0</v>
      </c>
      <c r="I10" s="25">
        <v>0</v>
      </c>
      <c r="J10" s="25">
        <v>0</v>
      </c>
      <c r="K10" s="27">
        <f t="shared" si="0"/>
        <v>0.5</v>
      </c>
    </row>
    <row r="11" spans="1:12" x14ac:dyDescent="0.25">
      <c r="B11" s="29" t="s">
        <v>68</v>
      </c>
      <c r="C11" s="23">
        <f>SUM(C6:C10)</f>
        <v>11.5</v>
      </c>
      <c r="D11" s="23">
        <f>SUM(D6:D10)</f>
        <v>3.5</v>
      </c>
      <c r="E11" s="23">
        <f t="shared" ref="E11:J11" si="1">SUM(E6:E10)</f>
        <v>2</v>
      </c>
      <c r="F11" s="23">
        <f t="shared" si="1"/>
        <v>1</v>
      </c>
      <c r="G11" s="23">
        <f t="shared" si="1"/>
        <v>3</v>
      </c>
      <c r="H11" s="23">
        <f t="shared" si="1"/>
        <v>1</v>
      </c>
      <c r="I11" s="23">
        <f t="shared" si="1"/>
        <v>2</v>
      </c>
      <c r="J11" s="23">
        <f t="shared" si="1"/>
        <v>1</v>
      </c>
      <c r="K11" s="30">
        <f>SUM(D11:J11)</f>
        <v>13.5</v>
      </c>
    </row>
    <row r="12" spans="1:12" x14ac:dyDescent="0.25">
      <c r="B12" s="29" t="s">
        <v>69</v>
      </c>
      <c r="C12" s="23">
        <f>SUM(C6:C10)</f>
        <v>11.5</v>
      </c>
      <c r="D12" s="23">
        <f>C12-(SUM(C6:C10)/7)</f>
        <v>9.8571428571428577</v>
      </c>
      <c r="E12" s="23">
        <f>D12-(SUM(C6:C10)/7)</f>
        <v>8.2142857142857153</v>
      </c>
      <c r="F12" s="23">
        <f>E12-(SUM(C6:C10)/7)</f>
        <v>6.571428571428573</v>
      </c>
      <c r="G12" s="23">
        <f>F12-(SUM(C6:C10)/7)</f>
        <v>4.9285714285714306</v>
      </c>
      <c r="H12" s="23">
        <f>G12-(SUM(C6:C10)/7)</f>
        <v>3.2857142857142878</v>
      </c>
      <c r="I12" s="23">
        <f>H12-(SUM(C6:C10)/7)</f>
        <v>1.642857142857145</v>
      </c>
      <c r="J12" s="23">
        <f>I12-(SUM(C6:C10)/7)</f>
        <v>2.2204460492503131E-15</v>
      </c>
      <c r="K12" s="31"/>
    </row>
    <row r="21" spans="2:5" x14ac:dyDescent="0.25">
      <c r="B21" s="32"/>
      <c r="C21" s="32"/>
      <c r="D21" s="32"/>
      <c r="E21" s="32"/>
    </row>
    <row r="22" spans="2:5" x14ac:dyDescent="0.25">
      <c r="B22" s="32"/>
      <c r="C22" s="32"/>
      <c r="D22" s="32"/>
      <c r="E22" s="32"/>
    </row>
    <row r="23" spans="2:5" x14ac:dyDescent="0.25">
      <c r="B23" s="32"/>
      <c r="C23" s="32"/>
      <c r="D23" s="32"/>
      <c r="E23" s="32"/>
    </row>
    <row r="24" spans="2:5" x14ac:dyDescent="0.25">
      <c r="B24" s="32"/>
      <c r="C24" s="32"/>
      <c r="D24" s="32"/>
      <c r="E24" s="32"/>
    </row>
    <row r="25" spans="2:5" x14ac:dyDescent="0.25">
      <c r="B25" s="32"/>
      <c r="C25" s="32"/>
      <c r="D25" s="32"/>
      <c r="E25" s="32"/>
    </row>
    <row r="26" spans="2:5" x14ac:dyDescent="0.25">
      <c r="B26" s="32"/>
      <c r="C26" s="32"/>
      <c r="D26" s="32"/>
      <c r="E26" s="32"/>
    </row>
    <row r="27" spans="2:5" x14ac:dyDescent="0.25">
      <c r="B27" s="32"/>
      <c r="C27" s="32"/>
      <c r="D27" s="32"/>
      <c r="E27" s="32"/>
    </row>
    <row r="28" spans="2:5" x14ac:dyDescent="0.25">
      <c r="B28" s="32"/>
      <c r="C28" s="32"/>
      <c r="D28" s="32"/>
      <c r="E28" s="32"/>
    </row>
    <row r="29" spans="2:5" x14ac:dyDescent="0.25">
      <c r="B29" s="32"/>
      <c r="C29" s="32"/>
      <c r="D29" s="32"/>
      <c r="E29" s="32"/>
    </row>
    <row r="30" spans="2:5" x14ac:dyDescent="0.25">
      <c r="B30" s="32"/>
      <c r="C30" s="32"/>
      <c r="D30" s="32"/>
      <c r="E30" s="32"/>
    </row>
    <row r="31" spans="2:5" x14ac:dyDescent="0.25">
      <c r="B31" s="32"/>
      <c r="C31" s="32"/>
      <c r="D31" s="32"/>
      <c r="E31" s="32"/>
    </row>
    <row r="33" spans="2:11" x14ac:dyDescent="0.25">
      <c r="B33" s="33" t="s">
        <v>70</v>
      </c>
      <c r="C33" s="33"/>
      <c r="D33" s="33"/>
      <c r="E33" s="33"/>
      <c r="F33" s="33"/>
      <c r="G33" s="33"/>
      <c r="H33" s="33"/>
      <c r="I33" s="33"/>
      <c r="J33" s="33"/>
      <c r="K33" s="33"/>
    </row>
    <row r="34" spans="2:11" x14ac:dyDescent="0.25">
      <c r="B34" s="34" t="s">
        <v>71</v>
      </c>
      <c r="C34" s="34" t="s">
        <v>45</v>
      </c>
      <c r="D34" s="35" t="s">
        <v>72</v>
      </c>
      <c r="E34" s="35" t="s">
        <v>73</v>
      </c>
      <c r="F34" s="35" t="s">
        <v>74</v>
      </c>
      <c r="G34" s="35" t="s">
        <v>75</v>
      </c>
      <c r="H34" s="35" t="s">
        <v>76</v>
      </c>
      <c r="I34" s="34" t="s">
        <v>77</v>
      </c>
      <c r="J34" s="34" t="s">
        <v>66</v>
      </c>
      <c r="K34" s="34" t="s">
        <v>67</v>
      </c>
    </row>
    <row r="35" spans="2:11" x14ac:dyDescent="0.25">
      <c r="B35" s="34" t="s">
        <v>78</v>
      </c>
      <c r="C35" s="36">
        <v>1.5</v>
      </c>
      <c r="D35" s="35">
        <v>0</v>
      </c>
      <c r="E35" s="35">
        <v>0.5</v>
      </c>
      <c r="F35" s="35">
        <v>0</v>
      </c>
      <c r="G35" s="35">
        <v>0</v>
      </c>
      <c r="H35" s="35">
        <v>0</v>
      </c>
      <c r="I35" s="34">
        <v>0</v>
      </c>
      <c r="J35" s="34">
        <v>1</v>
      </c>
      <c r="K35" s="30">
        <f>SUM(D35:J35)</f>
        <v>1.5</v>
      </c>
    </row>
    <row r="36" spans="2:11" x14ac:dyDescent="0.25">
      <c r="B36" s="34" t="s">
        <v>79</v>
      </c>
      <c r="C36" s="36">
        <v>4</v>
      </c>
      <c r="D36" s="35">
        <v>1</v>
      </c>
      <c r="E36" s="35">
        <v>1</v>
      </c>
      <c r="F36" s="35">
        <v>1</v>
      </c>
      <c r="G36" s="35">
        <v>1</v>
      </c>
      <c r="H36" s="35">
        <v>0</v>
      </c>
      <c r="I36" s="34">
        <v>0</v>
      </c>
      <c r="J36" s="34">
        <v>0</v>
      </c>
      <c r="K36" s="30">
        <f>SUM(D36:J36)</f>
        <v>4</v>
      </c>
    </row>
    <row r="37" spans="2:11" x14ac:dyDescent="0.25">
      <c r="B37" s="34" t="s">
        <v>80</v>
      </c>
      <c r="C37" s="36">
        <v>3</v>
      </c>
      <c r="D37" s="35">
        <v>2.5</v>
      </c>
      <c r="E37" s="35">
        <v>0</v>
      </c>
      <c r="F37" s="35">
        <v>0</v>
      </c>
      <c r="G37" s="35">
        <v>1</v>
      </c>
      <c r="H37" s="35">
        <v>0</v>
      </c>
      <c r="I37" s="34">
        <v>0</v>
      </c>
      <c r="J37" s="34">
        <v>0</v>
      </c>
      <c r="K37" s="30">
        <f>SUM(D37:J37)</f>
        <v>3.5</v>
      </c>
    </row>
    <row r="38" spans="2:11" x14ac:dyDescent="0.25">
      <c r="B38" s="34" t="s">
        <v>81</v>
      </c>
      <c r="C38" s="36">
        <v>2.5</v>
      </c>
      <c r="D38" s="37">
        <v>1</v>
      </c>
      <c r="E38" s="35">
        <v>1</v>
      </c>
      <c r="F38" s="35">
        <v>0</v>
      </c>
      <c r="G38" s="35">
        <v>0.5</v>
      </c>
      <c r="H38" s="35">
        <v>0</v>
      </c>
      <c r="I38" s="34">
        <v>0</v>
      </c>
      <c r="J38" s="34">
        <v>0</v>
      </c>
      <c r="K38" s="30">
        <f>SUM(D38:J38)</f>
        <v>2.5</v>
      </c>
    </row>
    <row r="39" spans="2:11" x14ac:dyDescent="0.25">
      <c r="B39" s="38" t="s">
        <v>68</v>
      </c>
      <c r="C39" s="23">
        <f t="shared" ref="C39:J39" si="2">SUM(C34:C38)</f>
        <v>11</v>
      </c>
      <c r="D39" s="23">
        <f t="shared" si="2"/>
        <v>4.5</v>
      </c>
      <c r="E39" s="23">
        <f t="shared" si="2"/>
        <v>2.5</v>
      </c>
      <c r="F39" s="23">
        <f t="shared" si="2"/>
        <v>1</v>
      </c>
      <c r="G39" s="23">
        <f t="shared" si="2"/>
        <v>2.5</v>
      </c>
      <c r="H39" s="23">
        <f t="shared" si="2"/>
        <v>0</v>
      </c>
      <c r="I39" s="23">
        <f t="shared" si="2"/>
        <v>0</v>
      </c>
      <c r="J39" s="23">
        <f t="shared" si="2"/>
        <v>1</v>
      </c>
      <c r="K39" s="30">
        <f>SUM(D39:J39)</f>
        <v>11.5</v>
      </c>
    </row>
    <row r="40" spans="2:11" ht="25.5" x14ac:dyDescent="0.25">
      <c r="B40" s="39" t="s">
        <v>69</v>
      </c>
      <c r="C40" s="23">
        <f>SUM(C34:C38)</f>
        <v>11</v>
      </c>
      <c r="D40" s="23">
        <f>C40-(SUM(C34:C38)/7)</f>
        <v>9.4285714285714288</v>
      </c>
      <c r="E40" s="23">
        <f>D40-(SUM(C34:C38)/7)</f>
        <v>7.8571428571428577</v>
      </c>
      <c r="F40" s="23">
        <f>E40-(SUM(C34:C38)/7)</f>
        <v>6.2857142857142865</v>
      </c>
      <c r="G40" s="23">
        <f>F40-(SUM(C34:C38)/7)</f>
        <v>4.7142857142857153</v>
      </c>
      <c r="H40" s="23">
        <f>G40-(SUM(C34:C38)/7)</f>
        <v>3.1428571428571441</v>
      </c>
      <c r="I40" s="23">
        <f>H40-(SUM(C34:C38)/7)</f>
        <v>1.5714285714285727</v>
      </c>
      <c r="J40" s="23">
        <f>I40-(SUM(C34:C38)/7)</f>
        <v>0</v>
      </c>
      <c r="K40" s="40" t="s">
        <v>71</v>
      </c>
    </row>
    <row r="41" spans="2:11" x14ac:dyDescent="0.25">
      <c r="J41"/>
    </row>
    <row r="58" spans="1:11" x14ac:dyDescent="0.25">
      <c r="D58" s="41"/>
    </row>
    <row r="60" spans="1:11" x14ac:dyDescent="0.25">
      <c r="A60" s="42"/>
      <c r="B60" s="43" t="s">
        <v>82</v>
      </c>
      <c r="C60" s="44"/>
      <c r="D60" s="44"/>
      <c r="E60" s="44"/>
      <c r="F60" s="44"/>
      <c r="G60" s="44"/>
      <c r="H60" s="44"/>
      <c r="I60" s="44"/>
      <c r="J60" s="44"/>
      <c r="K60" s="45"/>
    </row>
    <row r="61" spans="1:11" x14ac:dyDescent="0.25">
      <c r="A61" s="42"/>
      <c r="B61" s="34" t="s">
        <v>71</v>
      </c>
      <c r="C61" s="34" t="s">
        <v>45</v>
      </c>
      <c r="D61" s="35" t="s">
        <v>72</v>
      </c>
      <c r="E61" s="35" t="s">
        <v>61</v>
      </c>
      <c r="F61" s="35" t="s">
        <v>74</v>
      </c>
      <c r="G61" s="35" t="s">
        <v>75</v>
      </c>
      <c r="H61" s="35" t="s">
        <v>76</v>
      </c>
      <c r="I61" s="34" t="s">
        <v>77</v>
      </c>
      <c r="J61" s="34" t="s">
        <v>66</v>
      </c>
      <c r="K61" s="34" t="s">
        <v>67</v>
      </c>
    </row>
    <row r="62" spans="1:11" x14ac:dyDescent="0.25">
      <c r="A62" s="42"/>
      <c r="B62" s="34" t="s">
        <v>83</v>
      </c>
      <c r="C62" s="38">
        <v>1.5</v>
      </c>
      <c r="D62" s="35">
        <v>0</v>
      </c>
      <c r="E62" s="35">
        <v>1</v>
      </c>
      <c r="F62" s="35">
        <v>1</v>
      </c>
      <c r="G62" s="35">
        <v>0</v>
      </c>
      <c r="H62" s="35">
        <v>0</v>
      </c>
      <c r="I62" s="35" t="s">
        <v>84</v>
      </c>
      <c r="J62" s="35">
        <v>0</v>
      </c>
      <c r="K62" s="30">
        <f>SUM(D62:J62)</f>
        <v>2</v>
      </c>
    </row>
    <row r="63" spans="1:11" x14ac:dyDescent="0.25">
      <c r="A63" s="42"/>
      <c r="B63" s="34" t="s">
        <v>85</v>
      </c>
      <c r="C63" s="39">
        <v>4</v>
      </c>
      <c r="D63" s="35">
        <v>0.5</v>
      </c>
      <c r="E63" s="35">
        <v>1.5</v>
      </c>
      <c r="F63" s="35">
        <v>0</v>
      </c>
      <c r="G63" s="35">
        <v>1.5</v>
      </c>
      <c r="H63" s="35">
        <v>1</v>
      </c>
      <c r="I63" s="35">
        <v>0</v>
      </c>
      <c r="J63" s="35">
        <v>0</v>
      </c>
      <c r="K63" s="30">
        <f>SUM(D63:J63)</f>
        <v>4.5</v>
      </c>
    </row>
    <row r="64" spans="1:11" x14ac:dyDescent="0.25">
      <c r="A64" s="42"/>
      <c r="B64" s="34" t="s">
        <v>86</v>
      </c>
      <c r="C64" s="38">
        <v>3</v>
      </c>
      <c r="D64" s="35">
        <v>0.5</v>
      </c>
      <c r="E64" s="35">
        <v>1</v>
      </c>
      <c r="F64" s="35">
        <v>1</v>
      </c>
      <c r="G64" s="35">
        <v>0</v>
      </c>
      <c r="H64" s="35">
        <v>1</v>
      </c>
      <c r="I64" s="35">
        <v>0</v>
      </c>
      <c r="J64" s="35">
        <v>0</v>
      </c>
      <c r="K64" s="30">
        <f>SUM(D64:J64)</f>
        <v>3.5</v>
      </c>
    </row>
    <row r="65" spans="1:11" x14ac:dyDescent="0.25">
      <c r="A65" s="42"/>
      <c r="B65" s="34" t="s">
        <v>87</v>
      </c>
      <c r="C65" s="39">
        <v>2.5</v>
      </c>
      <c r="D65" s="35">
        <v>0</v>
      </c>
      <c r="E65" s="35">
        <v>0</v>
      </c>
      <c r="F65" s="35">
        <v>0.5</v>
      </c>
      <c r="G65" s="35">
        <v>0</v>
      </c>
      <c r="H65" s="35">
        <v>0</v>
      </c>
      <c r="I65" s="35">
        <v>1</v>
      </c>
      <c r="J65" s="35">
        <v>1</v>
      </c>
      <c r="K65" s="30">
        <f>SUM(D65:J65)</f>
        <v>2.5</v>
      </c>
    </row>
    <row r="66" spans="1:11" ht="17.25" x14ac:dyDescent="0.25">
      <c r="A66" s="42"/>
      <c r="B66" s="38" t="s">
        <v>68</v>
      </c>
      <c r="C66" s="34">
        <f t="shared" ref="C66:J66" si="3">SUM(C62:C65)</f>
        <v>11</v>
      </c>
      <c r="D66" s="46">
        <f t="shared" si="3"/>
        <v>1</v>
      </c>
      <c r="E66" s="47">
        <f t="shared" si="3"/>
        <v>3.5</v>
      </c>
      <c r="F66" s="35">
        <f t="shared" si="3"/>
        <v>2.5</v>
      </c>
      <c r="G66" s="35">
        <f t="shared" si="3"/>
        <v>1.5</v>
      </c>
      <c r="H66" s="35">
        <f t="shared" si="3"/>
        <v>2</v>
      </c>
      <c r="I66" s="48">
        <f t="shared" si="3"/>
        <v>1</v>
      </c>
      <c r="J66" s="34">
        <f t="shared" si="3"/>
        <v>1</v>
      </c>
      <c r="K66" s="30">
        <f>SUM(D66:J66)</f>
        <v>12.5</v>
      </c>
    </row>
    <row r="67" spans="1:11" ht="25.5" x14ac:dyDescent="0.25">
      <c r="A67" s="42"/>
      <c r="B67" s="39" t="s">
        <v>69</v>
      </c>
      <c r="C67" s="34">
        <f>SUM(C63:C66)</f>
        <v>20.5</v>
      </c>
      <c r="D67" s="49">
        <f>C67-(SUM(C62:C65)/7)</f>
        <v>18.928571428571427</v>
      </c>
      <c r="E67" s="50">
        <f>D67-(SUM(C62:C65)/7)</f>
        <v>17.357142857142854</v>
      </c>
      <c r="F67" s="35">
        <f>E67-(SUM(C62:C65)/7)</f>
        <v>15.785714285714283</v>
      </c>
      <c r="G67" s="35">
        <f>F67-(SUM(C62:C65)/7)</f>
        <v>14.214285714285712</v>
      </c>
      <c r="H67" s="35">
        <f>G67-(SUM(C62:C65)/7)</f>
        <v>12.642857142857141</v>
      </c>
      <c r="I67" s="48">
        <f>H67-(SUM(C62:C65)/7)</f>
        <v>11.071428571428569</v>
      </c>
      <c r="J67" s="51">
        <f>I67-(SUM(C62:C65)/7)</f>
        <v>9.4999999999999982</v>
      </c>
      <c r="K67" s="40" t="s">
        <v>71</v>
      </c>
    </row>
    <row r="68" spans="1:11" x14ac:dyDescent="0.25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</row>
    <row r="69" spans="1:11" x14ac:dyDescent="0.25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</row>
    <row r="70" spans="1:11" x14ac:dyDescent="0.25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</row>
    <row r="71" spans="1:11" x14ac:dyDescent="0.25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</row>
    <row r="72" spans="1:11" x14ac:dyDescent="0.25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</row>
    <row r="73" spans="1:11" x14ac:dyDescent="0.25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</row>
    <row r="74" spans="1:11" x14ac:dyDescent="0.25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</row>
    <row r="75" spans="1:11" x14ac:dyDescent="0.25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</row>
    <row r="76" spans="1:11" x14ac:dyDescent="0.25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</row>
    <row r="77" spans="1:11" x14ac:dyDescent="0.25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</row>
    <row r="78" spans="1:11" x14ac:dyDescent="0.25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</row>
    <row r="79" spans="1:11" x14ac:dyDescent="0.25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</row>
    <row r="80" spans="1:11" x14ac:dyDescent="0.25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</row>
    <row r="81" spans="1:12" x14ac:dyDescent="0.25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</row>
    <row r="82" spans="1:12" x14ac:dyDescent="0.25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</row>
    <row r="83" spans="1:12" x14ac:dyDescent="0.25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</row>
    <row r="84" spans="1:12" x14ac:dyDescent="0.25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</row>
    <row r="85" spans="1:12" x14ac:dyDescent="0.25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</row>
    <row r="86" spans="1:12" x14ac:dyDescent="0.25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</row>
    <row r="87" spans="1:12" x14ac:dyDescent="0.25">
      <c r="A87" s="42"/>
      <c r="B87" s="52"/>
      <c r="C87" s="42"/>
      <c r="D87" s="42"/>
      <c r="E87" s="42"/>
      <c r="F87" s="42"/>
      <c r="G87" s="42"/>
      <c r="H87" s="42"/>
      <c r="I87" s="42"/>
      <c r="J87" s="42"/>
      <c r="K87" s="42"/>
    </row>
    <row r="88" spans="1:12" x14ac:dyDescent="0.25">
      <c r="A88" s="42"/>
      <c r="B88" s="42"/>
      <c r="C88" s="42"/>
      <c r="D88" s="42"/>
      <c r="E88" s="53"/>
      <c r="F88" s="42"/>
      <c r="G88" s="42"/>
      <c r="H88" s="42"/>
      <c r="I88" s="42"/>
      <c r="J88" s="42"/>
      <c r="K88" s="42"/>
      <c r="L88" s="42"/>
    </row>
    <row r="89" spans="1:12" x14ac:dyDescent="0.25">
      <c r="A89" s="42"/>
      <c r="B89" s="42"/>
      <c r="C89" s="42"/>
      <c r="D89" s="42"/>
      <c r="E89" s="53"/>
      <c r="F89" s="42"/>
      <c r="G89" s="42"/>
      <c r="H89" s="42"/>
      <c r="I89" s="42"/>
      <c r="J89" s="42"/>
      <c r="K89" s="42"/>
      <c r="L89" s="42"/>
    </row>
    <row r="90" spans="1:12" x14ac:dyDescent="0.25">
      <c r="A90" s="42"/>
      <c r="B90" s="54" t="s">
        <v>88</v>
      </c>
      <c r="C90" s="54"/>
      <c r="D90" s="54"/>
      <c r="E90" s="54"/>
      <c r="F90" s="54"/>
      <c r="G90" s="54"/>
      <c r="H90" s="54"/>
      <c r="I90" s="54"/>
      <c r="J90" s="54"/>
      <c r="K90" s="54"/>
      <c r="L90" s="42"/>
    </row>
    <row r="91" spans="1:12" x14ac:dyDescent="0.25">
      <c r="A91" s="42"/>
      <c r="B91" s="34" t="s">
        <v>71</v>
      </c>
      <c r="C91" s="34" t="s">
        <v>45</v>
      </c>
      <c r="D91" s="35" t="s">
        <v>72</v>
      </c>
      <c r="E91" s="35" t="s">
        <v>61</v>
      </c>
      <c r="F91" s="35" t="s">
        <v>74</v>
      </c>
      <c r="G91" s="35" t="s">
        <v>75</v>
      </c>
      <c r="H91" s="35" t="s">
        <v>76</v>
      </c>
      <c r="I91" s="34" t="s">
        <v>77</v>
      </c>
      <c r="J91" s="34" t="s">
        <v>66</v>
      </c>
      <c r="K91" s="34" t="s">
        <v>67</v>
      </c>
      <c r="L91" s="42"/>
    </row>
    <row r="92" spans="1:12" x14ac:dyDescent="0.25">
      <c r="A92" s="42"/>
      <c r="B92" s="34" t="s">
        <v>78</v>
      </c>
      <c r="C92" s="36">
        <v>1.5</v>
      </c>
      <c r="D92" s="35">
        <v>0</v>
      </c>
      <c r="E92" s="35">
        <v>0</v>
      </c>
      <c r="F92" s="35">
        <v>0</v>
      </c>
      <c r="G92" s="35">
        <v>1</v>
      </c>
      <c r="H92" s="35">
        <v>0.5</v>
      </c>
      <c r="I92" s="34">
        <v>0.5</v>
      </c>
      <c r="J92" s="34">
        <v>0</v>
      </c>
      <c r="K92" s="30">
        <f>SUM(D92:J92)</f>
        <v>2</v>
      </c>
      <c r="L92" s="42"/>
    </row>
    <row r="93" spans="1:12" x14ac:dyDescent="0.25">
      <c r="A93" s="42"/>
      <c r="B93" s="34" t="s">
        <v>79</v>
      </c>
      <c r="C93" s="36">
        <v>4</v>
      </c>
      <c r="D93" s="35">
        <v>2</v>
      </c>
      <c r="E93" s="35">
        <v>1</v>
      </c>
      <c r="F93" s="35">
        <v>2</v>
      </c>
      <c r="G93" s="35">
        <v>0</v>
      </c>
      <c r="H93" s="35">
        <v>0</v>
      </c>
      <c r="I93" s="34">
        <v>0</v>
      </c>
      <c r="J93" s="34">
        <v>0</v>
      </c>
      <c r="K93" s="30">
        <f>SUM(D93:J93)</f>
        <v>5</v>
      </c>
      <c r="L93" s="42"/>
    </row>
    <row r="94" spans="1:12" x14ac:dyDescent="0.25">
      <c r="A94" s="42"/>
      <c r="B94" s="34" t="s">
        <v>80</v>
      </c>
      <c r="C94" s="36">
        <v>1</v>
      </c>
      <c r="D94" s="35">
        <v>3</v>
      </c>
      <c r="E94" s="35">
        <v>0</v>
      </c>
      <c r="F94" s="35">
        <v>0</v>
      </c>
      <c r="G94" s="35">
        <v>0</v>
      </c>
      <c r="H94" s="35">
        <v>0</v>
      </c>
      <c r="I94" s="34">
        <v>0</v>
      </c>
      <c r="J94" s="34">
        <v>0</v>
      </c>
      <c r="K94" s="30">
        <f>SUM(D94:J94)</f>
        <v>3</v>
      </c>
      <c r="L94" s="42"/>
    </row>
    <row r="95" spans="1:12" x14ac:dyDescent="0.25">
      <c r="A95" s="42"/>
      <c r="B95" s="34" t="s">
        <v>81</v>
      </c>
      <c r="C95" s="36">
        <v>2.5</v>
      </c>
      <c r="D95" s="35">
        <v>2</v>
      </c>
      <c r="E95" s="35">
        <v>1</v>
      </c>
      <c r="F95" s="35">
        <v>1</v>
      </c>
      <c r="G95" s="35">
        <v>0</v>
      </c>
      <c r="H95" s="35">
        <v>0</v>
      </c>
      <c r="I95" s="34">
        <v>0</v>
      </c>
      <c r="J95" s="55">
        <v>0</v>
      </c>
      <c r="K95" s="30">
        <f>SUM(D95:J95)</f>
        <v>4</v>
      </c>
      <c r="L95" s="42"/>
    </row>
    <row r="96" spans="1:12" x14ac:dyDescent="0.25">
      <c r="A96" s="42"/>
      <c r="B96" s="38" t="s">
        <v>68</v>
      </c>
      <c r="C96" s="23">
        <f t="shared" ref="C96:J96" si="4">SUM(C91:C95)</f>
        <v>9</v>
      </c>
      <c r="D96" s="23">
        <f t="shared" si="4"/>
        <v>7</v>
      </c>
      <c r="E96" s="23">
        <f t="shared" si="4"/>
        <v>2</v>
      </c>
      <c r="F96" s="23">
        <f t="shared" si="4"/>
        <v>3</v>
      </c>
      <c r="G96" s="23">
        <f t="shared" si="4"/>
        <v>1</v>
      </c>
      <c r="H96" s="23">
        <f t="shared" si="4"/>
        <v>0.5</v>
      </c>
      <c r="I96" s="23">
        <f t="shared" si="4"/>
        <v>0.5</v>
      </c>
      <c r="J96" s="23">
        <f t="shared" si="4"/>
        <v>0</v>
      </c>
      <c r="K96" s="30">
        <f>SUM(D96:J96)</f>
        <v>14</v>
      </c>
      <c r="L96" s="42"/>
    </row>
    <row r="97" spans="1:12" ht="25.5" x14ac:dyDescent="0.25">
      <c r="A97" s="42"/>
      <c r="B97" s="39" t="s">
        <v>69</v>
      </c>
      <c r="C97" s="23">
        <f>SUM(C91:C95)</f>
        <v>9</v>
      </c>
      <c r="D97" s="23">
        <f>C97-(SUM(C91:C95)/7)</f>
        <v>7.7142857142857144</v>
      </c>
      <c r="E97" s="23">
        <f>D97-(SUM(C91:C95)/7)</f>
        <v>6.4285714285714288</v>
      </c>
      <c r="F97" s="23">
        <f>E97-(SUM(C91:C95)/7)</f>
        <v>5.1428571428571432</v>
      </c>
      <c r="G97" s="23">
        <f>F97-(SUM(C91:C95)/7)</f>
        <v>3.8571428571428577</v>
      </c>
      <c r="H97" s="23">
        <f>G97-(SUM(C91:C95)/7)</f>
        <v>2.5714285714285721</v>
      </c>
      <c r="I97" s="23">
        <f>H97-(SUM(C91:C95)/7)</f>
        <v>1.2857142857142863</v>
      </c>
      <c r="J97" s="23">
        <f>I97-(SUM(C91:C95)/7)</f>
        <v>0</v>
      </c>
      <c r="K97" s="40" t="s">
        <v>71</v>
      </c>
      <c r="L97" s="42"/>
    </row>
    <row r="98" spans="1:12" x14ac:dyDescent="0.25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</row>
    <row r="99" spans="1:12" x14ac:dyDescent="0.25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</row>
    <row r="100" spans="1:12" x14ac:dyDescent="0.25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</row>
    <row r="101" spans="1:12" x14ac:dyDescent="0.25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</row>
    <row r="102" spans="1:12" x14ac:dyDescent="0.25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</row>
    <row r="103" spans="1:12" x14ac:dyDescent="0.25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</row>
    <row r="104" spans="1:12" x14ac:dyDescent="0.25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</row>
    <row r="105" spans="1:12" x14ac:dyDescent="0.25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</row>
    <row r="106" spans="1:12" x14ac:dyDescent="0.25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</row>
    <row r="107" spans="1:12" x14ac:dyDescent="0.25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</row>
    <row r="108" spans="1:12" x14ac:dyDescent="0.25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</row>
    <row r="109" spans="1:12" x14ac:dyDescent="0.25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</row>
    <row r="110" spans="1:12" x14ac:dyDescent="0.25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</row>
    <row r="111" spans="1:12" x14ac:dyDescent="0.25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</row>
    <row r="112" spans="1:12" x14ac:dyDescent="0.25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</row>
    <row r="113" spans="1:12" x14ac:dyDescent="0.25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</row>
    <row r="114" spans="1:12" x14ac:dyDescent="0.25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</row>
    <row r="115" spans="1:12" x14ac:dyDescent="0.25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</row>
    <row r="117" spans="1:12" x14ac:dyDescent="0.25">
      <c r="B117" s="52"/>
    </row>
    <row r="119" spans="1:12" x14ac:dyDescent="0.25">
      <c r="B119" s="54" t="s">
        <v>89</v>
      </c>
      <c r="C119" s="54"/>
      <c r="D119" s="54"/>
      <c r="E119" s="54"/>
      <c r="F119" s="54"/>
      <c r="G119" s="54"/>
      <c r="H119" s="54"/>
      <c r="I119" s="54"/>
      <c r="J119" s="54"/>
      <c r="K119" s="54"/>
    </row>
    <row r="120" spans="1:12" x14ac:dyDescent="0.25">
      <c r="B120" s="34" t="s">
        <v>71</v>
      </c>
      <c r="C120" s="34" t="s">
        <v>45</v>
      </c>
      <c r="D120" s="35" t="s">
        <v>72</v>
      </c>
      <c r="E120" s="35" t="s">
        <v>73</v>
      </c>
      <c r="F120" s="35" t="s">
        <v>74</v>
      </c>
      <c r="G120" s="35" t="s">
        <v>75</v>
      </c>
      <c r="H120" s="35" t="s">
        <v>76</v>
      </c>
      <c r="I120" s="34" t="s">
        <v>77</v>
      </c>
      <c r="J120" s="34" t="s">
        <v>90</v>
      </c>
      <c r="K120" s="34" t="s">
        <v>67</v>
      </c>
    </row>
    <row r="121" spans="1:12" x14ac:dyDescent="0.25">
      <c r="B121" s="34" t="s">
        <v>91</v>
      </c>
      <c r="C121" s="36">
        <v>1</v>
      </c>
      <c r="D121" s="35">
        <v>0</v>
      </c>
      <c r="E121" s="35">
        <v>0</v>
      </c>
      <c r="F121" s="35">
        <v>0</v>
      </c>
      <c r="G121" s="35">
        <v>0</v>
      </c>
      <c r="H121" s="35">
        <v>0</v>
      </c>
      <c r="I121" s="34">
        <v>0</v>
      </c>
      <c r="J121" s="34">
        <v>0</v>
      </c>
      <c r="K121" s="30">
        <f>SUM(D121:J121)</f>
        <v>0</v>
      </c>
    </row>
    <row r="122" spans="1:12" x14ac:dyDescent="0.25">
      <c r="B122" s="34" t="s">
        <v>92</v>
      </c>
      <c r="C122" s="36">
        <v>1.5</v>
      </c>
      <c r="D122" s="35">
        <v>0</v>
      </c>
      <c r="E122" s="35">
        <v>1</v>
      </c>
      <c r="F122" s="35">
        <v>2</v>
      </c>
      <c r="G122" s="35">
        <v>0</v>
      </c>
      <c r="H122" s="35">
        <v>0</v>
      </c>
      <c r="I122" s="34">
        <v>0</v>
      </c>
      <c r="J122" s="34">
        <v>0</v>
      </c>
      <c r="K122" s="30">
        <f>SUM(D122:J122)</f>
        <v>3</v>
      </c>
    </row>
    <row r="123" spans="1:12" x14ac:dyDescent="0.25">
      <c r="B123" s="34" t="s">
        <v>93</v>
      </c>
      <c r="C123" s="36">
        <v>1</v>
      </c>
      <c r="D123" s="35">
        <v>3</v>
      </c>
      <c r="E123" s="35">
        <v>0</v>
      </c>
      <c r="F123" s="35">
        <v>0</v>
      </c>
      <c r="G123" s="35">
        <v>0</v>
      </c>
      <c r="H123" s="35">
        <v>0</v>
      </c>
      <c r="I123" s="34">
        <v>0</v>
      </c>
      <c r="J123" s="34">
        <v>0</v>
      </c>
      <c r="K123" s="30">
        <f>SUM(D123:J123)</f>
        <v>3</v>
      </c>
    </row>
    <row r="124" spans="1:12" x14ac:dyDescent="0.25">
      <c r="B124" s="34" t="s">
        <v>94</v>
      </c>
      <c r="C124" s="36">
        <v>2</v>
      </c>
      <c r="D124" s="35">
        <v>2</v>
      </c>
      <c r="E124" s="35">
        <v>1</v>
      </c>
      <c r="F124" s="35">
        <v>1</v>
      </c>
      <c r="G124" s="35">
        <v>0</v>
      </c>
      <c r="H124" s="35">
        <v>0</v>
      </c>
      <c r="I124" s="34">
        <v>0</v>
      </c>
      <c r="J124" s="55">
        <v>0</v>
      </c>
      <c r="K124" s="30">
        <f>SUM(D124:J124)</f>
        <v>4</v>
      </c>
    </row>
    <row r="125" spans="1:12" x14ac:dyDescent="0.25">
      <c r="B125" s="38" t="s">
        <v>68</v>
      </c>
      <c r="C125" s="23">
        <f t="shared" ref="C125:J125" si="5">SUM(C120:C124)</f>
        <v>5.5</v>
      </c>
      <c r="D125" s="23">
        <f t="shared" si="5"/>
        <v>5</v>
      </c>
      <c r="E125" s="23">
        <f t="shared" si="5"/>
        <v>2</v>
      </c>
      <c r="F125" s="23">
        <f t="shared" si="5"/>
        <v>3</v>
      </c>
      <c r="G125" s="23">
        <f t="shared" si="5"/>
        <v>0</v>
      </c>
      <c r="H125" s="23">
        <f t="shared" si="5"/>
        <v>0</v>
      </c>
      <c r="I125" s="23">
        <f t="shared" si="5"/>
        <v>0</v>
      </c>
      <c r="J125" s="23">
        <f t="shared" si="5"/>
        <v>0</v>
      </c>
      <c r="K125" s="30">
        <f>SUM(D125:J125)</f>
        <v>10</v>
      </c>
    </row>
    <row r="126" spans="1:12" ht="25.5" x14ac:dyDescent="0.25">
      <c r="B126" s="39" t="s">
        <v>69</v>
      </c>
      <c r="C126" s="23">
        <f>SUM(C120:C124)</f>
        <v>5.5</v>
      </c>
      <c r="D126" s="23">
        <f>C126-(SUM(C120:C124)/7)</f>
        <v>4.7142857142857144</v>
      </c>
      <c r="E126" s="23">
        <f>D126-(SUM(C120:C124)/7)</f>
        <v>3.9285714285714288</v>
      </c>
      <c r="F126" s="23">
        <f>E126-(SUM(C120:C124)/7)</f>
        <v>3.1428571428571432</v>
      </c>
      <c r="G126" s="23">
        <f>F126-(SUM(C120:C124)/7)</f>
        <v>2.3571428571428577</v>
      </c>
      <c r="H126" s="23">
        <f>G126-(SUM(C120:C124)/7)</f>
        <v>1.5714285714285721</v>
      </c>
      <c r="I126" s="23">
        <f>H126-(SUM(C120:C124)/7)</f>
        <v>0.78571428571428636</v>
      </c>
      <c r="J126" s="23">
        <f>I126-(SUM(C120:C124)/7)</f>
        <v>0</v>
      </c>
      <c r="K126" s="40" t="s">
        <v>71</v>
      </c>
    </row>
  </sheetData>
  <mergeCells count="7">
    <mergeCell ref="B119:K119"/>
    <mergeCell ref="E2:I2"/>
    <mergeCell ref="B4:K4"/>
    <mergeCell ref="B21:E31"/>
    <mergeCell ref="B33:K33"/>
    <mergeCell ref="B60:K60"/>
    <mergeCell ref="B90:K9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 1</vt:lpstr>
      <vt:lpstr>Burdonchant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Mateo Rodriguez</dc:creator>
  <cp:lastModifiedBy>Mateo Rodriguez</cp:lastModifiedBy>
  <dcterms:created xsi:type="dcterms:W3CDTF">2026-07-15T13:21:41Z</dcterms:created>
  <dcterms:modified xsi:type="dcterms:W3CDTF">2026-07-15T13:41:03Z</dcterms:modified>
</cp:coreProperties>
</file>