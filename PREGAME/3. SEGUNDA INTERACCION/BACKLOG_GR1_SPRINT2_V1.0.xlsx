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82F5BFC6-34B4-4991-9382-4CAC382C6D3F}" xr6:coauthVersionLast="47" xr6:coauthVersionMax="47" xr10:uidLastSave="{00000000-0000-0000-0000-000000000000}"/>
  <bookViews>
    <workbookView xWindow="-120" yWindow="-120" windowWidth="20730" windowHeight="11040" activeTab="1" xr2:uid="{8BE2433D-6AD1-4DF3-B234-311DFC48CE84}"/>
  </bookViews>
  <sheets>
    <sheet name="Backlog" sheetId="1" r:id="rId1"/>
    <sheet name="Sprint2" sheetId="2" r:id="rId2"/>
    <sheet name="burdonchart - 2" sheetId="3" r:id="rId3"/>
  </sheets>
  <externalReferences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109" i="3" l="1"/>
  <c r="C109" i="3" s="1"/>
  <c r="D109" i="3" s="1"/>
  <c r="E109" i="3" s="1"/>
  <c r="F109" i="3" s="1"/>
  <c r="G109" i="3" s="1"/>
  <c r="H109" i="3" s="1"/>
  <c r="I109" i="3" s="1"/>
  <c r="I108" i="3"/>
  <c r="H108" i="3"/>
  <c r="G108" i="3"/>
  <c r="F108" i="3"/>
  <c r="E108" i="3"/>
  <c r="D108" i="3"/>
  <c r="C108" i="3"/>
  <c r="B108" i="3"/>
  <c r="J107" i="3"/>
  <c r="J106" i="3"/>
  <c r="J105" i="3"/>
  <c r="J104" i="3"/>
  <c r="B77" i="3"/>
  <c r="C77" i="3" s="1"/>
  <c r="D77" i="3" s="1"/>
  <c r="E77" i="3" s="1"/>
  <c r="F77" i="3" s="1"/>
  <c r="G77" i="3" s="1"/>
  <c r="H77" i="3" s="1"/>
  <c r="I77" i="3" s="1"/>
  <c r="I76" i="3"/>
  <c r="H76" i="3"/>
  <c r="G76" i="3"/>
  <c r="F76" i="3"/>
  <c r="E76" i="3"/>
  <c r="D76" i="3"/>
  <c r="C76" i="3"/>
  <c r="B76" i="3"/>
  <c r="J75" i="3"/>
  <c r="J74" i="3"/>
  <c r="J73" i="3"/>
  <c r="J72" i="3"/>
  <c r="J71" i="3"/>
  <c r="C44" i="3"/>
  <c r="D44" i="3" s="1"/>
  <c r="E44" i="3" s="1"/>
  <c r="F44" i="3" s="1"/>
  <c r="G44" i="3" s="1"/>
  <c r="H44" i="3" s="1"/>
  <c r="I44" i="3" s="1"/>
  <c r="B44" i="3"/>
  <c r="I43" i="3"/>
  <c r="H43" i="3"/>
  <c r="G43" i="3"/>
  <c r="F43" i="3"/>
  <c r="E43" i="3"/>
  <c r="D43" i="3"/>
  <c r="C43" i="3"/>
  <c r="B43" i="3"/>
  <c r="J42" i="3"/>
  <c r="J41" i="3"/>
  <c r="J40" i="3"/>
  <c r="B12" i="3"/>
  <c r="C12" i="3" s="1"/>
  <c r="D12" i="3" s="1"/>
  <c r="E12" i="3" s="1"/>
  <c r="F12" i="3" s="1"/>
  <c r="G12" i="3" s="1"/>
  <c r="H12" i="3" s="1"/>
  <c r="I12" i="3" s="1"/>
  <c r="I11" i="3"/>
  <c r="H11" i="3"/>
  <c r="G11" i="3"/>
  <c r="F11" i="3"/>
  <c r="E11" i="3"/>
  <c r="D11" i="3"/>
  <c r="C11" i="3"/>
  <c r="B11" i="3"/>
  <c r="J10" i="3"/>
  <c r="J9" i="3"/>
  <c r="J8" i="3"/>
</calcChain>
</file>

<file path=xl/sharedStrings.xml><?xml version="1.0" encoding="utf-8"?>
<sst xmlns="http://schemas.openxmlformats.org/spreadsheetml/2006/main" count="194" uniqueCount="87">
  <si>
    <t>ID</t>
  </si>
  <si>
    <t>Tema</t>
  </si>
  <si>
    <t>Como un..</t>
  </si>
  <si>
    <t>necesito</t>
  </si>
  <si>
    <t>asi podre...</t>
  </si>
  <si>
    <t>notas</t>
  </si>
  <si>
    <t>prioridad</t>
  </si>
  <si>
    <t>estatus</t>
  </si>
  <si>
    <t>REQ006</t>
  </si>
  <si>
    <t>Alerta de Fecha Cumpleaños Clientes</t>
  </si>
  <si>
    <t>Administrador del sistema</t>
  </si>
  <si>
    <t>Ver una alerta automática en el panel con los clientes que cumplen años en el día o la semana actual.</t>
  </si>
  <si>
    <t>Gestionar felicitaciones oportunas y ofrecer promociones exclusivas para mejorar su fidelización.</t>
  </si>
  <si>
    <t>Alta</t>
  </si>
  <si>
    <t xml:space="preserve">En ejecucion </t>
  </si>
  <si>
    <t>REQ007</t>
  </si>
  <si>
    <t>Registro Clientes Potenciales</t>
  </si>
  <si>
    <t>Registrar personas interesadas en los productos</t>
  </si>
  <si>
    <t>Llevar un seguimiento organizado de posibles compradores</t>
  </si>
  <si>
    <t>-</t>
  </si>
  <si>
    <t>REQ008</t>
  </si>
  <si>
    <t>Gestión de Clientes Potenciales</t>
  </si>
  <si>
    <t>Actualizar los datos de contacto y gestionar la baja de los clientes potenciales.</t>
  </si>
  <si>
    <t>Mantener actualizada la información de los clientes potenciales y controlar mejor quién sigue interesado y quién ya no.</t>
  </si>
  <si>
    <t>REQ009</t>
  </si>
  <si>
    <t>Gestión de clientes inactivos</t>
  </si>
  <si>
    <t>Eliminar clientes que no esten activos o se encuentren duplicados</t>
  </si>
  <si>
    <t>Mantener un listado de clientes activos sin perder el historial de ventas</t>
  </si>
  <si>
    <t>SPRINT 2</t>
  </si>
  <si>
    <t>Alerta de Cumpleaños, Registro y Gestion de Clientes Potenciales</t>
  </si>
  <si>
    <t>Administrador del Sistema</t>
  </si>
  <si>
    <t>#intentos</t>
  </si>
  <si>
    <t>No iniciada</t>
  </si>
  <si>
    <t xml:space="preserve">Tareas </t>
  </si>
  <si>
    <t>Asignado</t>
  </si>
  <si>
    <t>REQ006-1</t>
  </si>
  <si>
    <t>Agregar el atributo de Fecha de cumpleaños al Cliente</t>
  </si>
  <si>
    <t>Esteban Cuichan</t>
  </si>
  <si>
    <t>REQ006-2</t>
  </si>
  <si>
    <t xml:space="preserve"> Agregar al formulario del cliente el campo de elección de fecha</t>
  </si>
  <si>
    <t>REQ006-3</t>
  </si>
  <si>
    <t>Configurar que el ingreso no sea obligatorio</t>
  </si>
  <si>
    <t>REQ007-1</t>
  </si>
  <si>
    <t>Conexion de la GUI con los metodos para el ingreso de datos</t>
  </si>
  <si>
    <t>Eatan Ayala</t>
  </si>
  <si>
    <t>REQ007-2</t>
  </si>
  <si>
    <t>Ingreso de datos para un posible cliente dependiendo el campo</t>
  </si>
  <si>
    <t>REQ007-3</t>
  </si>
  <si>
    <t>Asignacion del Estado de "Cliente Pontencial"</t>
  </si>
  <si>
    <t>REQ007-4</t>
  </si>
  <si>
    <t xml:space="preserve">Insertar en la base de datos el cliente registrado </t>
  </si>
  <si>
    <t>Tareas</t>
  </si>
  <si>
    <t>Estimado</t>
  </si>
  <si>
    <t>REQ008-1</t>
  </si>
  <si>
    <t>Maquetación del modulo de clientes potenciales</t>
  </si>
  <si>
    <t>Johan Catota</t>
  </si>
  <si>
    <t>REQ008-2</t>
  </si>
  <si>
    <t>Implementación de consulta de clientes potenciales</t>
  </si>
  <si>
    <t>REQ008-3</t>
  </si>
  <si>
    <t>Actualización de datos de Clientes Potenciales</t>
  </si>
  <si>
    <t>REQ008-4</t>
  </si>
  <si>
    <t>Gestión de eliminacion de clientes potenciales</t>
  </si>
  <si>
    <t>REQ008-5</t>
  </si>
  <si>
    <t>Pruebas del módulo de clientes potenciales</t>
  </si>
  <si>
    <t>REQ009-1</t>
  </si>
  <si>
    <t>Filtrado y consulta de clientes por estado</t>
  </si>
  <si>
    <t>Katherine Caizaluisa</t>
  </si>
  <si>
    <t>REQ009-2</t>
  </si>
  <si>
    <t>Dar de baja y restaurar clientes</t>
  </si>
  <si>
    <t>REQ009-3</t>
  </si>
  <si>
    <t>Deteccion y fusion de duplicados</t>
  </si>
  <si>
    <t>REQ009-4</t>
  </si>
  <si>
    <t>Preservacion del historial de ventas</t>
  </si>
  <si>
    <t>REQ006 - ALERTA DE FECHA DE CUMPLEAÑOS</t>
  </si>
  <si>
    <t>Dia 7</t>
  </si>
  <si>
    <t>Dia 6</t>
  </si>
  <si>
    <t>Dia 5</t>
  </si>
  <si>
    <t>Dia 4</t>
  </si>
  <si>
    <t>Dia 3</t>
  </si>
  <si>
    <t>Dia 2</t>
  </si>
  <si>
    <t>Dia 1</t>
  </si>
  <si>
    <t>Total de Horas</t>
  </si>
  <si>
    <t>Horas Estimadas</t>
  </si>
  <si>
    <t>Horas Estimadas
Restantes</t>
  </si>
  <si>
    <t>REQ007 -REGISTRO DE CLIENTES POTENCIALES</t>
  </si>
  <si>
    <t>REQ008 - GESTIÓN DE CLIENTES POTENCIALES</t>
  </si>
  <si>
    <t>REQ009 - GESTIÓN DE CLIENTES INACTIVOS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</si>
</sst>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sz val="10"/>
      <color rgb="FF000000"/>
      <name val="Calibri"/>
      <scheme val="minor"/>
    </font>
    <font>
      <b/>
      <sz val="10"/>
      <color theme="1"/>
      <name val="Arial"/>
      <family val="2"/>
    </font>
    <font>
      <sz val="8"/>
      <color rgb="FF000000"/>
      <name val="Times New Roman"/>
      <family val="1"/>
    </font>
    <font>
      <sz val="8"/>
      <color theme="4"/>
      <name val="Times New Roman"/>
      <family val="1"/>
    </font>
    <font>
      <sz val="10"/>
      <color rgb="FF000000"/>
      <name val="Calibri"/>
      <family val="2"/>
      <scheme val="minor"/>
    </font>
    <font>
      <sz val="10"/>
      <color theme="1"/>
      <name val="Arial"/>
      <family val="2"/>
    </font>
    <font>
      <sz val="10"/>
      <color theme="4"/>
      <name val="Arial"/>
      <family val="2"/>
    </font>
    <font>
      <sz val="10"/>
      <name val="Arial"/>
      <family val="2"/>
    </font>
    <font>
      <sz val="10"/>
      <name val="Calibri"/>
      <family val="2"/>
      <scheme val="minor"/>
    </font>
    <font>
      <b/>
      <sz val="10"/>
      <color rgb="FF000000"/>
      <name val="Calibri"/>
      <scheme val="minor"/>
    </font>
    <font>
      <sz val="10"/>
      <color theme="4"/>
      <name val="Calibri"/>
      <scheme val="minor"/>
    </font>
    <font>
      <b/>
      <sz val="10"/>
      <color rgb="FF00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FC5E8"/>
        <bgColor rgb="FF9FC5E8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FFD966"/>
        <bgColor rgb="FFFFD966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5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41">
    <xf numFmtId="0" fontId="0" fillId="0" borderId="0" xfId="0"/>
    <xf numFmtId="0" fontId="2" fillId="0" borderId="1" xfId="1" applyFont="1" applyBorder="1" applyAlignment="1">
      <alignment horizontal="center"/>
    </xf>
    <xf numFmtId="0" fontId="3" fillId="0" borderId="2" xfId="1" applyFont="1" applyBorder="1" applyAlignment="1">
      <alignment horizontal="center" vertical="center" wrapText="1"/>
    </xf>
    <xf numFmtId="0" fontId="4" fillId="0" borderId="2" xfId="1" applyFont="1" applyBorder="1" applyAlignment="1">
      <alignment horizontal="center" vertical="center" wrapText="1"/>
    </xf>
    <xf numFmtId="0" fontId="3" fillId="0" borderId="2" xfId="2" applyFont="1" applyBorder="1" applyAlignment="1">
      <alignment horizontal="center" vertical="center" wrapText="1"/>
    </xf>
    <xf numFmtId="0" fontId="4" fillId="0" borderId="2" xfId="2" applyFont="1" applyBorder="1" applyAlignment="1">
      <alignment horizontal="center" vertical="center" wrapText="1"/>
    </xf>
    <xf numFmtId="0" fontId="1" fillId="2" borderId="2" xfId="3" applyFill="1" applyBorder="1"/>
    <xf numFmtId="0" fontId="5" fillId="2" borderId="2" xfId="3" applyFont="1" applyFill="1" applyBorder="1" applyAlignment="1">
      <alignment horizontal="left" vertical="center" wrapText="1"/>
    </xf>
    <xf numFmtId="0" fontId="1" fillId="0" borderId="0" xfId="3"/>
    <xf numFmtId="0" fontId="6" fillId="3" borderId="3" xfId="3" applyFont="1" applyFill="1" applyBorder="1"/>
    <xf numFmtId="0" fontId="6" fillId="3" borderId="3" xfId="3" applyFont="1" applyFill="1" applyBorder="1" applyAlignment="1">
      <alignment horizontal="left" wrapText="1"/>
    </xf>
    <xf numFmtId="0" fontId="6" fillId="3" borderId="3" xfId="3" applyFont="1" applyFill="1" applyBorder="1" applyAlignment="1">
      <alignment wrapText="1"/>
    </xf>
    <xf numFmtId="0" fontId="1" fillId="0" borderId="2" xfId="3" applyBorder="1"/>
    <xf numFmtId="0" fontId="2" fillId="0" borderId="4" xfId="3" applyFont="1" applyBorder="1"/>
    <xf numFmtId="0" fontId="7" fillId="0" borderId="2" xfId="3" applyFont="1" applyBorder="1"/>
    <xf numFmtId="0" fontId="8" fillId="0" borderId="4" xfId="3" applyFont="1" applyBorder="1"/>
    <xf numFmtId="0" fontId="9" fillId="0" borderId="4" xfId="3" applyFont="1" applyBorder="1"/>
    <xf numFmtId="0" fontId="6" fillId="3" borderId="2" xfId="3" applyFont="1" applyFill="1" applyBorder="1"/>
    <xf numFmtId="0" fontId="6" fillId="3" borderId="2" xfId="3" applyFont="1" applyFill="1" applyBorder="1" applyAlignment="1">
      <alignment horizontal="left" wrapText="1"/>
    </xf>
    <xf numFmtId="0" fontId="6" fillId="3" borderId="2" xfId="3" applyFont="1" applyFill="1" applyBorder="1" applyAlignment="1">
      <alignment wrapText="1"/>
    </xf>
    <xf numFmtId="0" fontId="10" fillId="0" borderId="2" xfId="3" applyFont="1" applyBorder="1"/>
    <xf numFmtId="0" fontId="6" fillId="0" borderId="2" xfId="3" applyFont="1" applyBorder="1"/>
    <xf numFmtId="0" fontId="2" fillId="0" borderId="2" xfId="3" applyFont="1" applyBorder="1"/>
    <xf numFmtId="0" fontId="11" fillId="0" borderId="2" xfId="3" applyFont="1" applyBorder="1"/>
    <xf numFmtId="0" fontId="8" fillId="0" borderId="0" xfId="3" applyFont="1"/>
    <xf numFmtId="0" fontId="9" fillId="0" borderId="0" xfId="3" applyFont="1"/>
    <xf numFmtId="0" fontId="6" fillId="3" borderId="2" xfId="4" applyFont="1" applyFill="1" applyBorder="1"/>
    <xf numFmtId="0" fontId="6" fillId="3" borderId="2" xfId="4" applyFont="1" applyFill="1" applyBorder="1" applyAlignment="1">
      <alignment horizontal="left" wrapText="1"/>
    </xf>
    <xf numFmtId="0" fontId="6" fillId="3" borderId="2" xfId="4" applyFont="1" applyFill="1" applyBorder="1" applyAlignment="1">
      <alignment wrapText="1"/>
    </xf>
    <xf numFmtId="0" fontId="1" fillId="0" borderId="2" xfId="4" applyBorder="1"/>
    <xf numFmtId="0" fontId="2" fillId="0" borderId="2" xfId="4" applyFont="1" applyBorder="1"/>
    <xf numFmtId="0" fontId="6" fillId="0" borderId="2" xfId="4" applyFont="1" applyBorder="1"/>
    <xf numFmtId="0" fontId="12" fillId="0" borderId="2" xfId="4" applyFont="1" applyBorder="1"/>
    <xf numFmtId="0" fontId="12" fillId="0" borderId="2" xfId="3" applyFont="1" applyBorder="1"/>
    <xf numFmtId="0" fontId="1" fillId="0" borderId="2" xfId="3" applyBorder="1" applyAlignment="1">
      <alignment horizontal="center" vertical="center"/>
    </xf>
    <xf numFmtId="0" fontId="6" fillId="0" borderId="2" xfId="3" applyFont="1" applyBorder="1" applyAlignment="1">
      <alignment horizontal="center" vertical="center"/>
    </xf>
    <xf numFmtId="0" fontId="1" fillId="0" borderId="2" xfId="3" applyBorder="1" applyAlignment="1">
      <alignment horizontal="center" vertical="center"/>
    </xf>
    <xf numFmtId="0" fontId="1" fillId="4" borderId="2" xfId="3" applyFill="1" applyBorder="1" applyAlignment="1">
      <alignment horizontal="center" vertical="center"/>
    </xf>
    <xf numFmtId="0" fontId="1" fillId="5" borderId="2" xfId="3" applyFill="1" applyBorder="1" applyAlignment="1">
      <alignment horizontal="center" vertical="center"/>
    </xf>
    <xf numFmtId="0" fontId="6" fillId="6" borderId="2" xfId="3" applyFont="1" applyFill="1" applyBorder="1" applyAlignment="1">
      <alignment horizontal="center" vertical="center"/>
    </xf>
    <xf numFmtId="0" fontId="1" fillId="0" borderId="0" xfId="3" applyAlignment="1">
      <alignment horizontal="center" vertical="center"/>
    </xf>
  </cellXfs>
  <cellStyles count="5">
    <cellStyle name="Normal" xfId="0" builtinId="0"/>
    <cellStyle name="Normal 2" xfId="3" xr:uid="{354316F5-C017-4244-9D75-02A398E59FB3}"/>
    <cellStyle name="Normal 3" xfId="1" xr:uid="{738FAC49-8A76-4A22-A700-4491D493DF2C}"/>
    <cellStyle name="Normal 4" xfId="2" xr:uid="{048ED36A-D156-41DD-8DBE-C2D3BE4E50B5}"/>
    <cellStyle name="Normal 6" xfId="4" xr:uid="{B618D2D0-23DC-4F71-BDF5-AB12F4596E7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738356232833095"/>
          <c:y val="6.6796945304296723E-2"/>
          <c:w val="0.71638705161854765"/>
          <c:h val="0.86882300089847264"/>
        </c:manualLayout>
      </c:layout>
      <c:lineChart>
        <c:grouping val="standard"/>
        <c:varyColors val="1"/>
        <c:ser>
          <c:idx val="0"/>
          <c:order val="0"/>
          <c:tx>
            <c:strRef>
              <c:f>'[1]burdonchart - 2'!$B$8</c:f>
              <c:strCache>
                <c:ptCount val="1"/>
                <c:pt idx="0">
                  <c:v>Horas Estimadas</c:v>
                </c:pt>
              </c:strCache>
            </c:strRef>
          </c:tx>
          <c:spPr>
            <a:ln w="22225" cap="rnd" cmpd="sng" algn="ctr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'[1]burdonchart - 2'!$C$8:$J$8</c:f>
              <c:numCache>
                <c:formatCode>General</c:formatCode>
                <c:ptCount val="8"/>
                <c:pt idx="0">
                  <c:v>5</c:v>
                </c:pt>
                <c:pt idx="1">
                  <c:v>0</c:v>
                </c:pt>
                <c:pt idx="2">
                  <c:v>0</c:v>
                </c:pt>
                <c:pt idx="3">
                  <c:v>0.5</c:v>
                </c:pt>
                <c:pt idx="4">
                  <c:v>0.5</c:v>
                </c:pt>
                <c:pt idx="5">
                  <c:v>2</c:v>
                </c:pt>
                <c:pt idx="6">
                  <c:v>1</c:v>
                </c:pt>
                <c:pt idx="7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22F-419B-A493-58680EA6F043}"/>
            </c:ext>
          </c:extLst>
        </c:ser>
        <c:ser>
          <c:idx val="1"/>
          <c:order val="1"/>
          <c:tx>
            <c:strRef>
              <c:f>'[1]burdonchart - 2'!$B$9</c:f>
              <c:strCache>
                <c:ptCount val="1"/>
                <c:pt idx="0">
                  <c:v>Horas Estimadas
Restantes</c:v>
                </c:pt>
              </c:strCache>
            </c:strRef>
          </c:tx>
          <c:spPr>
            <a:ln w="22225" cap="rnd" cmpd="sng" algn="ctr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'[1]burdonchart - 2'!$C$9:$J$9</c:f>
              <c:numCache>
                <c:formatCode>General</c:formatCode>
                <c:ptCount val="8"/>
                <c:pt idx="0">
                  <c:v>5</c:v>
                </c:pt>
                <c:pt idx="1">
                  <c:v>4.2857142857142856</c:v>
                </c:pt>
                <c:pt idx="2">
                  <c:v>3.5714285714285712</c:v>
                </c:pt>
                <c:pt idx="3">
                  <c:v>2.8571428571428568</c:v>
                </c:pt>
                <c:pt idx="4">
                  <c:v>2.1428571428571423</c:v>
                </c:pt>
                <c:pt idx="5">
                  <c:v>1.4285714285714279</c:v>
                </c:pt>
                <c:pt idx="6">
                  <c:v>0.71428571428571364</c:v>
                </c:pt>
                <c:pt idx="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22F-419B-A493-58680EA6F0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smooth val="0"/>
        <c:axId val="121089006"/>
        <c:axId val="1777883363"/>
      </c:lineChart>
      <c:catAx>
        <c:axId val="12108900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C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1777883363"/>
        <c:crosses val="autoZero"/>
        <c:auto val="1"/>
        <c:lblAlgn val="ctr"/>
        <c:lblOffset val="100"/>
        <c:noMultiLvlLbl val="1"/>
      </c:catAx>
      <c:valAx>
        <c:axId val="1777883363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C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121089006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5007240971067771"/>
          <c:y val="8.6793379843546237E-2"/>
          <c:w val="0.31106216756144234"/>
          <c:h val="9.35202726582329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C"/>
        </a:p>
      </c:txPr>
    </c:legend>
    <c:plotVisOnly val="1"/>
    <c:dispBlanksAs val="zero"/>
    <c:showDLblsOverMax val="1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C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738356232833095"/>
          <c:y val="6.6796945304296723E-2"/>
          <c:w val="0.71638705161854765"/>
          <c:h val="0.86882300089847264"/>
        </c:manualLayout>
      </c:layout>
      <c:lineChart>
        <c:grouping val="standard"/>
        <c:varyColors val="1"/>
        <c:ser>
          <c:idx val="0"/>
          <c:order val="0"/>
          <c:tx>
            <c:strRef>
              <c:f>'[1]burdonchart - 2'!$B$40</c:f>
              <c:strCache>
                <c:ptCount val="1"/>
                <c:pt idx="0">
                  <c:v>Horas Estimadas</c:v>
                </c:pt>
              </c:strCache>
            </c:strRef>
          </c:tx>
          <c:spPr>
            <a:ln w="22225" cap="rnd" cmpd="sng" algn="ctr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'[1]burdonchart - 2'!$C$40:$J$40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F12-406A-91E6-1DF48DB2EFAC}"/>
            </c:ext>
          </c:extLst>
        </c:ser>
        <c:ser>
          <c:idx val="1"/>
          <c:order val="1"/>
          <c:tx>
            <c:strRef>
              <c:f>'[1]burdonchart - 2'!$B$41</c:f>
              <c:strCache>
                <c:ptCount val="1"/>
                <c:pt idx="0">
                  <c:v>Horas Estimadas
Restantes</c:v>
                </c:pt>
              </c:strCache>
            </c:strRef>
          </c:tx>
          <c:spPr>
            <a:ln w="22225" cap="rnd" cmpd="sng" algn="ctr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'[1]burdonchart - 2'!$C$41:$J$41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F12-406A-91E6-1DF48DB2EF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smooth val="0"/>
        <c:axId val="121089006"/>
        <c:axId val="1777883363"/>
      </c:lineChart>
      <c:catAx>
        <c:axId val="12108900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C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1777883363"/>
        <c:crosses val="autoZero"/>
        <c:auto val="1"/>
        <c:lblAlgn val="ctr"/>
        <c:lblOffset val="100"/>
        <c:noMultiLvlLbl val="1"/>
      </c:catAx>
      <c:valAx>
        <c:axId val="1777883363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C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121089006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5007240971067771"/>
          <c:y val="8.6793379843546237E-2"/>
          <c:w val="0.31106216756144234"/>
          <c:h val="9.35202726582329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C"/>
        </a:p>
      </c:txPr>
    </c:legend>
    <c:plotVisOnly val="1"/>
    <c:dispBlanksAs val="zero"/>
    <c:showDLblsOverMax val="1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C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738356232833095"/>
          <c:y val="6.6796945304296723E-2"/>
          <c:w val="0.71638705161854765"/>
          <c:h val="0.86882300089847264"/>
        </c:manualLayout>
      </c:layout>
      <c:lineChart>
        <c:grouping val="standard"/>
        <c:varyColors val="1"/>
        <c:ser>
          <c:idx val="0"/>
          <c:order val="0"/>
          <c:tx>
            <c:strRef>
              <c:f>'[1]burdonchart - 2'!$B$73</c:f>
              <c:strCache>
                <c:ptCount val="1"/>
                <c:pt idx="0">
                  <c:v>Horas Estimadas</c:v>
                </c:pt>
              </c:strCache>
            </c:strRef>
          </c:tx>
          <c:spPr>
            <a:ln w="22225" cap="rnd" cmpd="sng" algn="ctr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'[1]burdonchart - 2'!$C$73:$J$73</c:f>
              <c:numCache>
                <c:formatCode>General</c:formatCode>
                <c:ptCount val="8"/>
                <c:pt idx="0">
                  <c:v>11.5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D2F-4661-AF8B-B37A828E66F5}"/>
            </c:ext>
          </c:extLst>
        </c:ser>
        <c:ser>
          <c:idx val="1"/>
          <c:order val="1"/>
          <c:tx>
            <c:strRef>
              <c:f>'[1]burdonchart - 2'!$B$74</c:f>
              <c:strCache>
                <c:ptCount val="1"/>
                <c:pt idx="0">
                  <c:v>Horas Estimadas
Restantes</c:v>
                </c:pt>
              </c:strCache>
            </c:strRef>
          </c:tx>
          <c:spPr>
            <a:ln w="22225" cap="rnd" cmpd="sng" algn="ctr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'[1]burdonchart - 2'!$C$74:$J$74</c:f>
              <c:numCache>
                <c:formatCode>General</c:formatCode>
                <c:ptCount val="8"/>
                <c:pt idx="0">
                  <c:v>11.5</c:v>
                </c:pt>
                <c:pt idx="1">
                  <c:v>9.8571428571428577</c:v>
                </c:pt>
                <c:pt idx="2">
                  <c:v>8.2142857142857153</c:v>
                </c:pt>
                <c:pt idx="3">
                  <c:v>6.571428571428573</c:v>
                </c:pt>
                <c:pt idx="4">
                  <c:v>4.9285714285714306</c:v>
                </c:pt>
                <c:pt idx="5">
                  <c:v>3.2857142857142878</c:v>
                </c:pt>
                <c:pt idx="6">
                  <c:v>1.642857142857145</c:v>
                </c:pt>
                <c:pt idx="7">
                  <c:v>2.2204460492503131E-15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D2F-4661-AF8B-B37A828E66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smooth val="0"/>
        <c:axId val="121089006"/>
        <c:axId val="1777883363"/>
      </c:lineChart>
      <c:catAx>
        <c:axId val="12108900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C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1777883363"/>
        <c:crosses val="autoZero"/>
        <c:auto val="1"/>
        <c:lblAlgn val="ctr"/>
        <c:lblOffset val="100"/>
        <c:noMultiLvlLbl val="1"/>
      </c:catAx>
      <c:valAx>
        <c:axId val="1777883363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C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121089006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5007240971067771"/>
          <c:y val="8.6793379843546237E-2"/>
          <c:w val="0.31106216756144234"/>
          <c:h val="9.35202726582329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C"/>
        </a:p>
      </c:txPr>
    </c:legend>
    <c:plotVisOnly val="1"/>
    <c:dispBlanksAs val="zero"/>
    <c:showDLblsOverMax val="1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C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738356232833095"/>
          <c:y val="6.6796945304296723E-2"/>
          <c:w val="0.71638705161854765"/>
          <c:h val="0.86882300089847264"/>
        </c:manualLayout>
      </c:layout>
      <c:lineChart>
        <c:grouping val="standard"/>
        <c:varyColors val="1"/>
        <c:ser>
          <c:idx val="0"/>
          <c:order val="0"/>
          <c:tx>
            <c:strRef>
              <c:f>'[1]burdonchart - 2'!$B$105</c:f>
              <c:strCache>
                <c:ptCount val="1"/>
                <c:pt idx="0">
                  <c:v>Horas Estimadas</c:v>
                </c:pt>
              </c:strCache>
            </c:strRef>
          </c:tx>
          <c:spPr>
            <a:ln w="22225" cap="rnd" cmpd="sng" algn="ctr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'[1]burdonchart - 2'!$C$105:$J$105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209-471B-8167-8F52ADC7F748}"/>
            </c:ext>
          </c:extLst>
        </c:ser>
        <c:ser>
          <c:idx val="1"/>
          <c:order val="1"/>
          <c:tx>
            <c:strRef>
              <c:f>'[1]burdonchart - 2'!$B$106</c:f>
              <c:strCache>
                <c:ptCount val="1"/>
                <c:pt idx="0">
                  <c:v>Horas Estimadas
Restantes</c:v>
                </c:pt>
              </c:strCache>
            </c:strRef>
          </c:tx>
          <c:spPr>
            <a:ln w="22225" cap="rnd" cmpd="sng" algn="ctr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'[1]burdonchart - 2'!$C$106:$J$106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209-471B-8167-8F52ADC7F7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smooth val="0"/>
        <c:axId val="121089006"/>
        <c:axId val="1777883363"/>
      </c:lineChart>
      <c:catAx>
        <c:axId val="12108900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C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1777883363"/>
        <c:crosses val="autoZero"/>
        <c:auto val="1"/>
        <c:lblAlgn val="ctr"/>
        <c:lblOffset val="100"/>
        <c:noMultiLvlLbl val="1"/>
      </c:catAx>
      <c:valAx>
        <c:axId val="1777883363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C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121089006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5007240971067771"/>
          <c:y val="8.6793379843546237E-2"/>
          <c:w val="0.31106216756144234"/>
          <c:h val="9.35202726582329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C"/>
        </a:p>
      </c:txPr>
    </c:legend>
    <c:plotVisOnly val="1"/>
    <c:dispBlanksAs val="zero"/>
    <c:showDLblsOverMax val="1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C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13</xdr:row>
      <xdr:rowOff>53569</xdr:rowOff>
    </xdr:from>
    <xdr:ext cx="9065773" cy="3517077"/>
    <xdr:graphicFrame macro="">
      <xdr:nvGraphicFramePr>
        <xdr:cNvPr id="2" name="Chart 1" title="Gráfico">
          <a:extLst>
            <a:ext uri="{FF2B5EF4-FFF2-40B4-BE49-F238E27FC236}">
              <a16:creationId xmlns:a16="http://schemas.microsoft.com/office/drawing/2014/main" id="{4F074302-5FA4-4AC4-9014-FCCC237CF20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twoCellAnchor>
    <xdr:from>
      <xdr:col>0</xdr:col>
      <xdr:colOff>1640635</xdr:colOff>
      <xdr:row>13</xdr:row>
      <xdr:rowOff>12700</xdr:rowOff>
    </xdr:from>
    <xdr:to>
      <xdr:col>7</xdr:col>
      <xdr:colOff>32808</xdr:colOff>
      <xdr:row>14</xdr:row>
      <xdr:rowOff>121603</xdr:rowOff>
    </xdr:to>
    <xdr:sp macro="" textlink="">
      <xdr:nvSpPr>
        <xdr:cNvPr id="3" name="CuadroTexto 2">
          <a:extLst>
            <a:ext uri="{FF2B5EF4-FFF2-40B4-BE49-F238E27FC236}">
              <a16:creationId xmlns:a16="http://schemas.microsoft.com/office/drawing/2014/main" id="{79898485-95D7-4A10-9EE0-494551161E87}"/>
            </a:ext>
          </a:extLst>
        </xdr:cNvPr>
        <xdr:cNvSpPr txBox="1"/>
      </xdr:nvSpPr>
      <xdr:spPr>
        <a:xfrm>
          <a:off x="2402635" y="1631950"/>
          <a:ext cx="5297798" cy="27082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EC" sz="1600" b="1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REQ006</a:t>
          </a:r>
          <a:r>
            <a:rPr lang="es-EC" sz="1600" b="1" baseline="0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 - ALERTA DE FECHA DE CUMPLEAÑOS</a:t>
          </a:r>
          <a:endParaRPr lang="es-EC" sz="1600" b="1"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</xdr:txBody>
    </xdr:sp>
    <xdr:clientData/>
  </xdr:twoCellAnchor>
  <xdr:oneCellAnchor>
    <xdr:from>
      <xdr:col>0</xdr:col>
      <xdr:colOff>0</xdr:colOff>
      <xdr:row>45</xdr:row>
      <xdr:rowOff>40869</xdr:rowOff>
    </xdr:from>
    <xdr:ext cx="9065773" cy="3517077"/>
    <xdr:graphicFrame macro="">
      <xdr:nvGraphicFramePr>
        <xdr:cNvPr id="4" name="Chart 1" title="Gráfico">
          <a:extLst>
            <a:ext uri="{FF2B5EF4-FFF2-40B4-BE49-F238E27FC236}">
              <a16:creationId xmlns:a16="http://schemas.microsoft.com/office/drawing/2014/main" id="{6C99E6F8-0544-4F4E-BF1E-BEE4AF4D352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twoCellAnchor>
    <xdr:from>
      <xdr:col>0</xdr:col>
      <xdr:colOff>1640635</xdr:colOff>
      <xdr:row>45</xdr:row>
      <xdr:rowOff>0</xdr:rowOff>
    </xdr:from>
    <xdr:to>
      <xdr:col>7</xdr:col>
      <xdr:colOff>32808</xdr:colOff>
      <xdr:row>46</xdr:row>
      <xdr:rowOff>108903</xdr:rowOff>
    </xdr:to>
    <xdr:sp macro="" textlink="">
      <xdr:nvSpPr>
        <xdr:cNvPr id="5" name="CuadroTexto 4">
          <a:extLst>
            <a:ext uri="{FF2B5EF4-FFF2-40B4-BE49-F238E27FC236}">
              <a16:creationId xmlns:a16="http://schemas.microsoft.com/office/drawing/2014/main" id="{914DFC9E-3A96-4266-B9D8-C0A691D79476}"/>
            </a:ext>
          </a:extLst>
        </xdr:cNvPr>
        <xdr:cNvSpPr txBox="1"/>
      </xdr:nvSpPr>
      <xdr:spPr>
        <a:xfrm>
          <a:off x="2402635" y="6800850"/>
          <a:ext cx="5297798" cy="27082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EC" sz="1600" b="1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REQ007</a:t>
          </a:r>
          <a:r>
            <a:rPr lang="es-EC" sz="1600" b="1" baseline="0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 - REGISTRO DE CLIENTES POTENCIALES</a:t>
          </a:r>
          <a:endParaRPr lang="es-EC" sz="1600" b="1"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</xdr:txBody>
    </xdr:sp>
    <xdr:clientData/>
  </xdr:twoCellAnchor>
  <xdr:oneCellAnchor>
    <xdr:from>
      <xdr:col>0</xdr:col>
      <xdr:colOff>0</xdr:colOff>
      <xdr:row>78</xdr:row>
      <xdr:rowOff>40869</xdr:rowOff>
    </xdr:from>
    <xdr:ext cx="9065773" cy="3517077"/>
    <xdr:graphicFrame macro="">
      <xdr:nvGraphicFramePr>
        <xdr:cNvPr id="6" name="Chart 1" title="Gráfico">
          <a:extLst>
            <a:ext uri="{FF2B5EF4-FFF2-40B4-BE49-F238E27FC236}">
              <a16:creationId xmlns:a16="http://schemas.microsoft.com/office/drawing/2014/main" id="{8C9B4B96-2B1B-474C-BC44-47C3FB6B758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 fLocksWithSheet="0"/>
  </xdr:oneCellAnchor>
  <xdr:twoCellAnchor>
    <xdr:from>
      <xdr:col>0</xdr:col>
      <xdr:colOff>1640635</xdr:colOff>
      <xdr:row>78</xdr:row>
      <xdr:rowOff>0</xdr:rowOff>
    </xdr:from>
    <xdr:to>
      <xdr:col>7</xdr:col>
      <xdr:colOff>32808</xdr:colOff>
      <xdr:row>79</xdr:row>
      <xdr:rowOff>108903</xdr:rowOff>
    </xdr:to>
    <xdr:sp macro="" textlink="">
      <xdr:nvSpPr>
        <xdr:cNvPr id="7" name="CuadroTexto 6">
          <a:extLst>
            <a:ext uri="{FF2B5EF4-FFF2-40B4-BE49-F238E27FC236}">
              <a16:creationId xmlns:a16="http://schemas.microsoft.com/office/drawing/2014/main" id="{12A518A7-13E8-4BD6-B260-965D158A5E5E}"/>
            </a:ext>
          </a:extLst>
        </xdr:cNvPr>
        <xdr:cNvSpPr txBox="1"/>
      </xdr:nvSpPr>
      <xdr:spPr>
        <a:xfrm>
          <a:off x="2402635" y="12144375"/>
          <a:ext cx="5297798" cy="27082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EC" sz="1600" b="1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REQ008</a:t>
          </a:r>
          <a:r>
            <a:rPr lang="es-EC" sz="1600" b="1" baseline="0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 - GESTIÓN DE CLIENTES POTENCIALES</a:t>
          </a:r>
          <a:endParaRPr lang="es-EC" sz="1600" b="1"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</xdr:txBody>
    </xdr:sp>
    <xdr:clientData/>
  </xdr:twoCellAnchor>
  <xdr:oneCellAnchor>
    <xdr:from>
      <xdr:col>0</xdr:col>
      <xdr:colOff>0</xdr:colOff>
      <xdr:row>110</xdr:row>
      <xdr:rowOff>40869</xdr:rowOff>
    </xdr:from>
    <xdr:ext cx="9065773" cy="3517077"/>
    <xdr:graphicFrame macro="">
      <xdr:nvGraphicFramePr>
        <xdr:cNvPr id="8" name="Chart 1" title="Gráfico">
          <a:extLst>
            <a:ext uri="{FF2B5EF4-FFF2-40B4-BE49-F238E27FC236}">
              <a16:creationId xmlns:a16="http://schemas.microsoft.com/office/drawing/2014/main" id="{989B5C68-FEA4-49BD-8742-D8D8B3FF24A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 fLocksWithSheet="0"/>
  </xdr:oneCellAnchor>
  <xdr:twoCellAnchor>
    <xdr:from>
      <xdr:col>0</xdr:col>
      <xdr:colOff>1640635</xdr:colOff>
      <xdr:row>110</xdr:row>
      <xdr:rowOff>0</xdr:rowOff>
    </xdr:from>
    <xdr:to>
      <xdr:col>7</xdr:col>
      <xdr:colOff>32808</xdr:colOff>
      <xdr:row>111</xdr:row>
      <xdr:rowOff>108903</xdr:rowOff>
    </xdr:to>
    <xdr:sp macro="" textlink="">
      <xdr:nvSpPr>
        <xdr:cNvPr id="9" name="CuadroTexto 8">
          <a:extLst>
            <a:ext uri="{FF2B5EF4-FFF2-40B4-BE49-F238E27FC236}">
              <a16:creationId xmlns:a16="http://schemas.microsoft.com/office/drawing/2014/main" id="{608670AA-6D68-4FC0-8579-8DCEE600DD31}"/>
            </a:ext>
          </a:extLst>
        </xdr:cNvPr>
        <xdr:cNvSpPr txBox="1"/>
      </xdr:nvSpPr>
      <xdr:spPr>
        <a:xfrm>
          <a:off x="2402635" y="17325975"/>
          <a:ext cx="5297798" cy="27082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EC" sz="1600" b="1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REQ009 - GESTIÓN DE CLIENTES INACTIVOS</a:t>
          </a: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cb96bae4b2eefd41/BACKLOG_GR1_V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cklog"/>
      <sheetName val="Sprints"/>
      <sheetName val="burdonchart - 1"/>
      <sheetName val="burdonchart - 2"/>
    </sheetNames>
    <sheetDataSet>
      <sheetData sheetId="0"/>
      <sheetData sheetId="1"/>
      <sheetData sheetId="2">
        <row r="11">
          <cell r="B11" t="str">
            <v>Horas Estimadas</v>
          </cell>
        </row>
      </sheetData>
      <sheetData sheetId="3">
        <row r="8">
          <cell r="B8" t="str">
            <v>Horas Estimadas</v>
          </cell>
          <cell r="C8">
            <v>5</v>
          </cell>
          <cell r="D8">
            <v>0</v>
          </cell>
          <cell r="E8">
            <v>0</v>
          </cell>
          <cell r="F8">
            <v>0.5</v>
          </cell>
          <cell r="G8">
            <v>0.5</v>
          </cell>
          <cell r="H8">
            <v>2</v>
          </cell>
          <cell r="I8">
            <v>1</v>
          </cell>
          <cell r="J8">
            <v>1</v>
          </cell>
        </row>
        <row r="9">
          <cell r="B9" t="str">
            <v>Horas Estimadas
Restantes</v>
          </cell>
          <cell r="C9">
            <v>5</v>
          </cell>
          <cell r="D9">
            <v>4.2857142857142856</v>
          </cell>
          <cell r="E9">
            <v>3.5714285714285712</v>
          </cell>
          <cell r="F9">
            <v>2.8571428571428568</v>
          </cell>
          <cell r="G9">
            <v>2.1428571428571423</v>
          </cell>
          <cell r="H9">
            <v>1.4285714285714279</v>
          </cell>
          <cell r="I9">
            <v>0.71428571428571364</v>
          </cell>
          <cell r="J9">
            <v>0</v>
          </cell>
        </row>
        <row r="40">
          <cell r="B40" t="str">
            <v>Horas Estimadas</v>
          </cell>
          <cell r="C40">
            <v>0</v>
          </cell>
          <cell r="D40">
            <v>0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</row>
        <row r="41">
          <cell r="B41" t="str">
            <v>Horas Estimadas
Restantes</v>
          </cell>
          <cell r="C41">
            <v>0</v>
          </cell>
          <cell r="D41">
            <v>0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</row>
        <row r="73">
          <cell r="B73" t="str">
            <v>Horas Estimadas</v>
          </cell>
          <cell r="C73">
            <v>11.5</v>
          </cell>
          <cell r="D73">
            <v>0</v>
          </cell>
          <cell r="E73">
            <v>0.5</v>
          </cell>
          <cell r="F73">
            <v>0.5</v>
          </cell>
          <cell r="G73">
            <v>3</v>
          </cell>
          <cell r="H73">
            <v>0</v>
          </cell>
          <cell r="I73">
            <v>0</v>
          </cell>
          <cell r="J73">
            <v>0</v>
          </cell>
        </row>
        <row r="74">
          <cell r="B74" t="str">
            <v>Horas Estimadas
Restantes</v>
          </cell>
          <cell r="C74">
            <v>11.5</v>
          </cell>
          <cell r="D74">
            <v>9.8571428571428577</v>
          </cell>
          <cell r="E74">
            <v>8.2142857142857153</v>
          </cell>
          <cell r="F74">
            <v>6.571428571428573</v>
          </cell>
          <cell r="G74">
            <v>4.9285714285714306</v>
          </cell>
          <cell r="H74">
            <v>3.2857142857142878</v>
          </cell>
          <cell r="I74">
            <v>1.642857142857145</v>
          </cell>
          <cell r="J74">
            <v>2.2204460492503131E-15</v>
          </cell>
        </row>
        <row r="105">
          <cell r="B105" t="str">
            <v>Horas Estimadas</v>
          </cell>
          <cell r="C105">
            <v>0</v>
          </cell>
          <cell r="D105">
            <v>0</v>
          </cell>
          <cell r="E105">
            <v>0</v>
          </cell>
          <cell r="F105">
            <v>0</v>
          </cell>
          <cell r="G105">
            <v>0</v>
          </cell>
          <cell r="H105">
            <v>0</v>
          </cell>
          <cell r="I105">
            <v>0</v>
          </cell>
          <cell r="J105">
            <v>0</v>
          </cell>
        </row>
        <row r="106">
          <cell r="B106" t="str">
            <v>Horas Estimadas
Restantes</v>
          </cell>
          <cell r="C106">
            <v>0</v>
          </cell>
          <cell r="D106">
            <v>0</v>
          </cell>
          <cell r="E106">
            <v>0</v>
          </cell>
          <cell r="F106">
            <v>0</v>
          </cell>
          <cell r="G106">
            <v>0</v>
          </cell>
          <cell r="H106">
            <v>0</v>
          </cell>
          <cell r="I106">
            <v>0</v>
          </cell>
          <cell r="J106">
            <v>0</v>
          </cell>
        </row>
      </sheetData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86D359-F3CC-428C-97FC-C75C8B3B0062}">
  <dimension ref="A1:H5"/>
  <sheetViews>
    <sheetView workbookViewId="0">
      <selection activeCell="A3" sqref="A3"/>
    </sheetView>
  </sheetViews>
  <sheetFormatPr baseColWidth="10" defaultRowHeight="15" x14ac:dyDescent="0.25"/>
  <cols>
    <col min="2" max="2" width="28.7109375" customWidth="1"/>
    <col min="3" max="3" width="27" customWidth="1"/>
    <col min="4" max="4" width="32.140625" customWidth="1"/>
    <col min="5" max="5" width="33.7109375" customWidth="1"/>
    <col min="8" max="8" width="25.710937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44.25" customHeight="1" x14ac:dyDescent="0.25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3"/>
      <c r="G2" s="2" t="s">
        <v>13</v>
      </c>
      <c r="H2" s="2" t="s">
        <v>14</v>
      </c>
    </row>
    <row r="3" spans="1:8" ht="33" customHeight="1" x14ac:dyDescent="0.25">
      <c r="A3" s="2" t="s">
        <v>15</v>
      </c>
      <c r="B3" s="2" t="s">
        <v>16</v>
      </c>
      <c r="C3" s="2" t="s">
        <v>10</v>
      </c>
      <c r="D3" s="2" t="s">
        <v>17</v>
      </c>
      <c r="E3" s="2" t="s">
        <v>18</v>
      </c>
      <c r="F3" s="3" t="s">
        <v>19</v>
      </c>
      <c r="G3" s="2" t="s">
        <v>13</v>
      </c>
      <c r="H3" s="2" t="s">
        <v>14</v>
      </c>
    </row>
    <row r="4" spans="1:8" ht="39" customHeight="1" x14ac:dyDescent="0.25">
      <c r="A4" s="2" t="s">
        <v>20</v>
      </c>
      <c r="B4" s="2" t="s">
        <v>21</v>
      </c>
      <c r="C4" s="2" t="s">
        <v>10</v>
      </c>
      <c r="D4" s="2" t="s">
        <v>22</v>
      </c>
      <c r="E4" s="2" t="s">
        <v>23</v>
      </c>
      <c r="F4" s="3" t="s">
        <v>19</v>
      </c>
      <c r="G4" s="2" t="s">
        <v>13</v>
      </c>
      <c r="H4" s="2" t="s">
        <v>14</v>
      </c>
    </row>
    <row r="5" spans="1:8" ht="36.75" customHeight="1" x14ac:dyDescent="0.25">
      <c r="A5" s="2" t="s">
        <v>24</v>
      </c>
      <c r="B5" s="4" t="s">
        <v>25</v>
      </c>
      <c r="C5" s="4" t="s">
        <v>10</v>
      </c>
      <c r="D5" s="4" t="s">
        <v>26</v>
      </c>
      <c r="E5" s="4" t="s">
        <v>27</v>
      </c>
      <c r="F5" s="5" t="s">
        <v>19</v>
      </c>
      <c r="G5" s="4" t="s">
        <v>13</v>
      </c>
      <c r="H5" s="2" t="s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520037-C828-4BFA-B7AA-C81641E7D173}">
  <dimension ref="A1:I25"/>
  <sheetViews>
    <sheetView tabSelected="1" topLeftCell="D1" workbookViewId="0">
      <selection activeCell="C21" sqref="C21"/>
    </sheetView>
  </sheetViews>
  <sheetFormatPr baseColWidth="10" defaultRowHeight="15" x14ac:dyDescent="0.25"/>
  <cols>
    <col min="3" max="3" width="46.28515625" customWidth="1"/>
    <col min="4" max="4" width="31" customWidth="1"/>
    <col min="5" max="5" width="37.28515625" customWidth="1"/>
    <col min="6" max="6" width="34.42578125" customWidth="1"/>
    <col min="7" max="7" width="23.42578125" customWidth="1"/>
    <col min="8" max="8" width="28.5703125" customWidth="1"/>
    <col min="9" max="9" width="14.85546875" customWidth="1"/>
  </cols>
  <sheetData>
    <row r="1" spans="1:9" x14ac:dyDescent="0.25">
      <c r="A1" s="6" t="s">
        <v>28</v>
      </c>
      <c r="B1" s="7" t="s">
        <v>29</v>
      </c>
      <c r="C1" s="7"/>
      <c r="D1" s="7"/>
      <c r="E1" s="7"/>
      <c r="F1" s="7"/>
      <c r="G1" s="7"/>
      <c r="H1" s="7"/>
      <c r="I1" s="7"/>
    </row>
    <row r="2" spans="1:9" ht="54" customHeight="1" x14ac:dyDescent="0.25">
      <c r="A2" s="8"/>
      <c r="B2" s="9" t="s">
        <v>8</v>
      </c>
      <c r="C2" s="9" t="s">
        <v>9</v>
      </c>
      <c r="D2" s="9" t="s">
        <v>30</v>
      </c>
      <c r="E2" s="10" t="s">
        <v>11</v>
      </c>
      <c r="F2" s="11" t="s">
        <v>12</v>
      </c>
      <c r="G2" s="9" t="s">
        <v>31</v>
      </c>
      <c r="H2" s="9" t="s">
        <v>13</v>
      </c>
      <c r="I2" s="9" t="s">
        <v>32</v>
      </c>
    </row>
    <row r="3" spans="1:9" x14ac:dyDescent="0.25">
      <c r="A3" s="8"/>
      <c r="B3" s="12"/>
      <c r="C3" s="33" t="s">
        <v>33</v>
      </c>
      <c r="D3" s="12"/>
      <c r="E3" s="12"/>
      <c r="F3" s="12"/>
      <c r="G3" s="13" t="s">
        <v>34</v>
      </c>
      <c r="H3" s="12"/>
      <c r="I3" s="12"/>
    </row>
    <row r="4" spans="1:9" x14ac:dyDescent="0.25">
      <c r="A4" s="8"/>
      <c r="B4" s="14" t="s">
        <v>35</v>
      </c>
      <c r="C4" s="15" t="s">
        <v>36</v>
      </c>
      <c r="D4" s="16"/>
      <c r="E4" s="16"/>
      <c r="F4" s="16"/>
      <c r="G4" s="12" t="s">
        <v>37</v>
      </c>
      <c r="H4" s="12"/>
      <c r="I4" s="12">
        <v>1</v>
      </c>
    </row>
    <row r="5" spans="1:9" x14ac:dyDescent="0.25">
      <c r="A5" s="8"/>
      <c r="B5" s="14" t="s">
        <v>38</v>
      </c>
      <c r="C5" s="15" t="s">
        <v>39</v>
      </c>
      <c r="D5" s="16"/>
      <c r="E5" s="16"/>
      <c r="F5" s="16"/>
      <c r="G5" s="12" t="s">
        <v>37</v>
      </c>
      <c r="H5" s="12"/>
      <c r="I5" s="12">
        <v>2</v>
      </c>
    </row>
    <row r="6" spans="1:9" x14ac:dyDescent="0.25">
      <c r="A6" s="8"/>
      <c r="B6" s="14" t="s">
        <v>40</v>
      </c>
      <c r="C6" s="15" t="s">
        <v>41</v>
      </c>
      <c r="D6" s="16"/>
      <c r="E6" s="16"/>
      <c r="F6" s="16"/>
      <c r="G6" s="12" t="s">
        <v>37</v>
      </c>
      <c r="H6" s="12"/>
      <c r="I6" s="12">
        <v>2</v>
      </c>
    </row>
    <row r="7" spans="1:9" ht="27" customHeight="1" x14ac:dyDescent="0.25">
      <c r="A7" s="8"/>
      <c r="B7" s="17" t="s">
        <v>15</v>
      </c>
      <c r="C7" s="17" t="s">
        <v>16</v>
      </c>
      <c r="D7" s="17" t="s">
        <v>30</v>
      </c>
      <c r="E7" s="18" t="s">
        <v>17</v>
      </c>
      <c r="F7" s="19" t="s">
        <v>18</v>
      </c>
      <c r="G7" s="17" t="s">
        <v>31</v>
      </c>
      <c r="H7" s="17" t="s">
        <v>13</v>
      </c>
      <c r="I7" s="17" t="s">
        <v>32</v>
      </c>
    </row>
    <row r="8" spans="1:9" x14ac:dyDescent="0.25">
      <c r="A8" s="8"/>
      <c r="B8" s="12"/>
      <c r="C8" s="20" t="s">
        <v>33</v>
      </c>
      <c r="D8" s="12"/>
      <c r="E8" s="12"/>
      <c r="F8" s="12"/>
      <c r="G8" s="13" t="s">
        <v>34</v>
      </c>
      <c r="H8" s="12"/>
      <c r="I8" s="12"/>
    </row>
    <row r="9" spans="1:9" x14ac:dyDescent="0.25">
      <c r="A9" s="8"/>
      <c r="B9" s="14" t="s">
        <v>42</v>
      </c>
      <c r="C9" s="15" t="s">
        <v>43</v>
      </c>
      <c r="D9" s="16"/>
      <c r="E9" s="16"/>
      <c r="F9" s="16"/>
      <c r="G9" s="21" t="s">
        <v>44</v>
      </c>
      <c r="H9" s="12"/>
      <c r="I9" s="12">
        <v>1</v>
      </c>
    </row>
    <row r="10" spans="1:9" x14ac:dyDescent="0.25">
      <c r="A10" s="8"/>
      <c r="B10" s="14" t="s">
        <v>45</v>
      </c>
      <c r="C10" s="15" t="s">
        <v>46</v>
      </c>
      <c r="D10" s="16"/>
      <c r="E10" s="16"/>
      <c r="F10" s="16"/>
      <c r="G10" s="21" t="s">
        <v>44</v>
      </c>
      <c r="H10" s="12"/>
      <c r="I10" s="12">
        <v>2</v>
      </c>
    </row>
    <row r="11" spans="1:9" x14ac:dyDescent="0.25">
      <c r="A11" s="8"/>
      <c r="B11" s="14" t="s">
        <v>47</v>
      </c>
      <c r="C11" s="15" t="s">
        <v>48</v>
      </c>
      <c r="D11" s="16"/>
      <c r="E11" s="16"/>
      <c r="F11" s="16"/>
      <c r="G11" s="21" t="s">
        <v>44</v>
      </c>
      <c r="H11" s="12"/>
      <c r="I11" s="12">
        <v>1</v>
      </c>
    </row>
    <row r="12" spans="1:9" x14ac:dyDescent="0.25">
      <c r="A12" s="8"/>
      <c r="B12" s="14" t="s">
        <v>49</v>
      </c>
      <c r="C12" s="15" t="s">
        <v>50</v>
      </c>
      <c r="D12" s="16"/>
      <c r="E12" s="16"/>
      <c r="F12" s="16"/>
      <c r="G12" s="21" t="s">
        <v>44</v>
      </c>
      <c r="H12" s="12"/>
      <c r="I12" s="12">
        <v>1</v>
      </c>
    </row>
    <row r="13" spans="1:9" ht="37.5" customHeight="1" x14ac:dyDescent="0.25">
      <c r="A13" s="8"/>
      <c r="B13" s="17" t="s">
        <v>20</v>
      </c>
      <c r="C13" s="17" t="s">
        <v>21</v>
      </c>
      <c r="D13" s="17" t="s">
        <v>30</v>
      </c>
      <c r="E13" s="18" t="s">
        <v>22</v>
      </c>
      <c r="F13" s="19" t="s">
        <v>23</v>
      </c>
      <c r="G13" s="17" t="s">
        <v>31</v>
      </c>
      <c r="H13" s="17" t="s">
        <v>13</v>
      </c>
      <c r="I13" s="17" t="s">
        <v>32</v>
      </c>
    </row>
    <row r="14" spans="1:9" x14ac:dyDescent="0.25">
      <c r="A14" s="8"/>
      <c r="B14" s="12"/>
      <c r="C14" s="22" t="s">
        <v>51</v>
      </c>
      <c r="D14" s="12"/>
      <c r="E14" s="12"/>
      <c r="F14" s="12"/>
      <c r="G14" s="22" t="s">
        <v>34</v>
      </c>
      <c r="H14" s="12"/>
      <c r="I14" s="22" t="s">
        <v>52</v>
      </c>
    </row>
    <row r="15" spans="1:9" x14ac:dyDescent="0.25">
      <c r="A15" s="8"/>
      <c r="B15" s="23" t="s">
        <v>53</v>
      </c>
      <c r="C15" s="15" t="s">
        <v>54</v>
      </c>
      <c r="D15" s="16"/>
      <c r="E15" s="16"/>
      <c r="F15" s="16"/>
      <c r="G15" s="21" t="s">
        <v>55</v>
      </c>
      <c r="H15" s="12"/>
      <c r="I15" s="12">
        <v>3</v>
      </c>
    </row>
    <row r="16" spans="1:9" x14ac:dyDescent="0.25">
      <c r="A16" s="8"/>
      <c r="B16" s="23" t="s">
        <v>56</v>
      </c>
      <c r="C16" s="15" t="s">
        <v>57</v>
      </c>
      <c r="D16" s="16"/>
      <c r="E16" s="16"/>
      <c r="F16" s="16"/>
      <c r="G16" s="21" t="s">
        <v>55</v>
      </c>
      <c r="H16" s="12"/>
      <c r="I16" s="12">
        <v>4</v>
      </c>
    </row>
    <row r="17" spans="1:9" x14ac:dyDescent="0.25">
      <c r="A17" s="8"/>
      <c r="B17" s="23" t="s">
        <v>58</v>
      </c>
      <c r="C17" s="15" t="s">
        <v>59</v>
      </c>
      <c r="D17" s="16"/>
      <c r="E17" s="16"/>
      <c r="F17" s="16"/>
      <c r="G17" s="21" t="s">
        <v>55</v>
      </c>
      <c r="H17" s="12"/>
      <c r="I17" s="12">
        <v>1.5</v>
      </c>
    </row>
    <row r="18" spans="1:9" x14ac:dyDescent="0.25">
      <c r="A18" s="8"/>
      <c r="B18" s="23" t="s">
        <v>60</v>
      </c>
      <c r="C18" s="15" t="s">
        <v>61</v>
      </c>
      <c r="D18" s="16"/>
      <c r="E18" s="16"/>
      <c r="F18" s="16"/>
      <c r="G18" s="21" t="s">
        <v>55</v>
      </c>
      <c r="H18" s="12"/>
      <c r="I18" s="12">
        <v>2.5</v>
      </c>
    </row>
    <row r="19" spans="1:9" x14ac:dyDescent="0.25">
      <c r="A19" s="8"/>
      <c r="B19" s="23" t="s">
        <v>62</v>
      </c>
      <c r="C19" s="24" t="s">
        <v>63</v>
      </c>
      <c r="D19" s="25"/>
      <c r="E19" s="25"/>
      <c r="F19" s="25"/>
      <c r="G19" s="21" t="s">
        <v>55</v>
      </c>
      <c r="H19" s="12"/>
      <c r="I19" s="12">
        <v>0.5</v>
      </c>
    </row>
    <row r="20" spans="1:9" ht="26.25" x14ac:dyDescent="0.25">
      <c r="A20" s="8"/>
      <c r="B20" s="17" t="s">
        <v>24</v>
      </c>
      <c r="C20" s="26" t="s">
        <v>25</v>
      </c>
      <c r="D20" s="26" t="s">
        <v>30</v>
      </c>
      <c r="E20" s="27" t="s">
        <v>26</v>
      </c>
      <c r="F20" s="28" t="s">
        <v>27</v>
      </c>
      <c r="G20" s="26" t="s">
        <v>31</v>
      </c>
      <c r="H20" s="26" t="s">
        <v>13</v>
      </c>
      <c r="I20" s="26" t="s">
        <v>32</v>
      </c>
    </row>
    <row r="21" spans="1:9" x14ac:dyDescent="0.25">
      <c r="A21" s="8"/>
      <c r="B21" s="21"/>
      <c r="C21" s="32" t="s">
        <v>51</v>
      </c>
      <c r="D21" s="29"/>
      <c r="E21" s="29"/>
      <c r="F21" s="29"/>
      <c r="G21" s="30" t="s">
        <v>34</v>
      </c>
      <c r="H21" s="29"/>
      <c r="I21" s="30" t="s">
        <v>52</v>
      </c>
    </row>
    <row r="22" spans="1:9" x14ac:dyDescent="0.25">
      <c r="A22" s="8"/>
      <c r="B22" s="14" t="s">
        <v>64</v>
      </c>
      <c r="C22" s="15" t="s">
        <v>65</v>
      </c>
      <c r="D22" s="16"/>
      <c r="E22" s="16"/>
      <c r="F22" s="16"/>
      <c r="G22" s="31" t="s">
        <v>66</v>
      </c>
      <c r="H22" s="29"/>
      <c r="I22" s="29">
        <v>0</v>
      </c>
    </row>
    <row r="23" spans="1:9" x14ac:dyDescent="0.25">
      <c r="A23" s="8"/>
      <c r="B23" s="14" t="s">
        <v>67</v>
      </c>
      <c r="C23" s="15" t="s">
        <v>68</v>
      </c>
      <c r="D23" s="16"/>
      <c r="E23" s="16"/>
      <c r="F23" s="16"/>
      <c r="G23" s="31" t="s">
        <v>66</v>
      </c>
      <c r="H23" s="29"/>
      <c r="I23" s="29">
        <v>0</v>
      </c>
    </row>
    <row r="24" spans="1:9" x14ac:dyDescent="0.25">
      <c r="A24" s="8"/>
      <c r="B24" s="14" t="s">
        <v>69</v>
      </c>
      <c r="C24" s="15" t="s">
        <v>70</v>
      </c>
      <c r="D24" s="16"/>
      <c r="E24" s="16"/>
      <c r="F24" s="16"/>
      <c r="G24" s="31" t="s">
        <v>66</v>
      </c>
      <c r="H24" s="29"/>
      <c r="I24" s="29">
        <v>0</v>
      </c>
    </row>
    <row r="25" spans="1:9" x14ac:dyDescent="0.25">
      <c r="A25" s="8"/>
      <c r="B25" s="14" t="s">
        <v>71</v>
      </c>
      <c r="C25" s="15" t="s">
        <v>72</v>
      </c>
      <c r="D25" s="16"/>
      <c r="E25" s="16"/>
      <c r="F25" s="16"/>
      <c r="G25" s="31" t="s">
        <v>66</v>
      </c>
      <c r="H25" s="29"/>
      <c r="I25" s="29">
        <v>0</v>
      </c>
    </row>
  </sheetData>
  <mergeCells count="16">
    <mergeCell ref="C22:F22"/>
    <mergeCell ref="C23:F23"/>
    <mergeCell ref="C24:F24"/>
    <mergeCell ref="C25:F25"/>
    <mergeCell ref="C11:F11"/>
    <mergeCell ref="C12:F12"/>
    <mergeCell ref="C15:F15"/>
    <mergeCell ref="C16:F16"/>
    <mergeCell ref="C17:F17"/>
    <mergeCell ref="C18:F18"/>
    <mergeCell ref="B1:I1"/>
    <mergeCell ref="C4:F4"/>
    <mergeCell ref="C5:F5"/>
    <mergeCell ref="C6:F6"/>
    <mergeCell ref="C9:F9"/>
    <mergeCell ref="C10:F10"/>
  </mergeCells>
  <pageMargins left="0.7" right="0.7" top="0.75" bottom="0.75" header="0.3" footer="0.3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0D91AB-4260-4608-A955-8067D8D3D199}">
  <dimension ref="A6:J109"/>
  <sheetViews>
    <sheetView topLeftCell="A136" workbookViewId="0">
      <selection activeCell="H10" sqref="H10"/>
    </sheetView>
  </sheetViews>
  <sheetFormatPr baseColWidth="10" defaultRowHeight="15" x14ac:dyDescent="0.25"/>
  <cols>
    <col min="1" max="1" width="19.7109375" customWidth="1"/>
    <col min="10" max="10" width="15" customWidth="1"/>
  </cols>
  <sheetData>
    <row r="6" spans="1:10" x14ac:dyDescent="0.25">
      <c r="A6" s="34" t="s">
        <v>73</v>
      </c>
      <c r="B6" s="34"/>
      <c r="C6" s="34"/>
      <c r="D6" s="34"/>
      <c r="E6" s="34"/>
      <c r="F6" s="34"/>
      <c r="G6" s="34"/>
      <c r="H6" s="34"/>
      <c r="I6" s="34"/>
      <c r="J6" s="34"/>
    </row>
    <row r="7" spans="1:10" x14ac:dyDescent="0.25">
      <c r="A7" s="35"/>
      <c r="B7" s="35" t="s">
        <v>52</v>
      </c>
      <c r="C7" s="35" t="s">
        <v>74</v>
      </c>
      <c r="D7" s="35" t="s">
        <v>75</v>
      </c>
      <c r="E7" s="35" t="s">
        <v>76</v>
      </c>
      <c r="F7" s="35" t="s">
        <v>77</v>
      </c>
      <c r="G7" s="35" t="s">
        <v>78</v>
      </c>
      <c r="H7" s="35" t="s">
        <v>79</v>
      </c>
      <c r="I7" s="35" t="s">
        <v>80</v>
      </c>
      <c r="J7" s="35" t="s">
        <v>81</v>
      </c>
    </row>
    <row r="8" spans="1:10" x14ac:dyDescent="0.25">
      <c r="A8" s="36" t="s">
        <v>35</v>
      </c>
      <c r="B8" s="37">
        <v>1</v>
      </c>
      <c r="C8" s="36">
        <v>0</v>
      </c>
      <c r="D8" s="36">
        <v>0</v>
      </c>
      <c r="E8" s="36">
        <v>0</v>
      </c>
      <c r="F8" s="36">
        <v>0</v>
      </c>
      <c r="G8" s="36">
        <v>0</v>
      </c>
      <c r="H8" s="36">
        <v>0</v>
      </c>
      <c r="I8" s="36">
        <v>1</v>
      </c>
      <c r="J8" s="38">
        <f>SUM(C8:I8)</f>
        <v>1</v>
      </c>
    </row>
    <row r="9" spans="1:10" x14ac:dyDescent="0.25">
      <c r="A9" s="36" t="s">
        <v>38</v>
      </c>
      <c r="B9" s="37">
        <v>2</v>
      </c>
      <c r="C9" s="36">
        <v>0</v>
      </c>
      <c r="D9" s="36">
        <v>0</v>
      </c>
      <c r="E9" s="36">
        <v>0</v>
      </c>
      <c r="F9" s="36">
        <v>0</v>
      </c>
      <c r="G9" s="36">
        <v>1</v>
      </c>
      <c r="H9" s="36">
        <v>1</v>
      </c>
      <c r="I9" s="36">
        <v>0</v>
      </c>
      <c r="J9" s="38">
        <f t="shared" ref="J9:J10" si="0">SUM(C9:I9)</f>
        <v>2</v>
      </c>
    </row>
    <row r="10" spans="1:10" x14ac:dyDescent="0.25">
      <c r="A10" s="36" t="s">
        <v>40</v>
      </c>
      <c r="B10" s="37">
        <v>2</v>
      </c>
      <c r="C10" s="36">
        <v>0</v>
      </c>
      <c r="D10" s="36">
        <v>0</v>
      </c>
      <c r="E10" s="36">
        <v>0.5</v>
      </c>
      <c r="F10" s="36">
        <v>0.5</v>
      </c>
      <c r="G10" s="36">
        <v>1</v>
      </c>
      <c r="H10" s="36">
        <v>0</v>
      </c>
      <c r="I10" s="36">
        <v>0</v>
      </c>
      <c r="J10" s="38">
        <f t="shared" si="0"/>
        <v>2</v>
      </c>
    </row>
    <row r="11" spans="1:10" x14ac:dyDescent="0.25">
      <c r="A11" s="39" t="s">
        <v>82</v>
      </c>
      <c r="B11" s="35">
        <f t="shared" ref="B11:I11" si="1">SUM(B8:B10)</f>
        <v>5</v>
      </c>
      <c r="C11" s="35">
        <f t="shared" si="1"/>
        <v>0</v>
      </c>
      <c r="D11" s="35">
        <f t="shared" si="1"/>
        <v>0</v>
      </c>
      <c r="E11" s="35">
        <f t="shared" si="1"/>
        <v>0.5</v>
      </c>
      <c r="F11" s="35">
        <f t="shared" si="1"/>
        <v>0.5</v>
      </c>
      <c r="G11" s="35">
        <f t="shared" si="1"/>
        <v>2</v>
      </c>
      <c r="H11" s="35">
        <f t="shared" si="1"/>
        <v>1</v>
      </c>
      <c r="I11" s="35">
        <f t="shared" si="1"/>
        <v>1</v>
      </c>
      <c r="J11" s="40"/>
    </row>
    <row r="12" spans="1:10" x14ac:dyDescent="0.25">
      <c r="A12" s="39" t="s">
        <v>83</v>
      </c>
      <c r="B12" s="35">
        <f>SUM(B8:B10)</f>
        <v>5</v>
      </c>
      <c r="C12" s="35">
        <f>B12-(SUM(B8:B10)/7)</f>
        <v>4.2857142857142856</v>
      </c>
      <c r="D12" s="35">
        <f>C12-(SUM(B8:B10)/7)</f>
        <v>3.5714285714285712</v>
      </c>
      <c r="E12" s="35">
        <f>D12-(SUM(B8:B10)/7)</f>
        <v>2.8571428571428568</v>
      </c>
      <c r="F12" s="35">
        <f>E12-(SUM(B8:B10)/7)</f>
        <v>2.1428571428571423</v>
      </c>
      <c r="G12" s="35">
        <f>F12-(SUM(B8:B10)/7)</f>
        <v>1.4285714285714279</v>
      </c>
      <c r="H12" s="35">
        <f>G12-(SUM(B8:B10)/7)</f>
        <v>0.71428571428571364</v>
      </c>
      <c r="I12" s="35">
        <f>H12-(SUM(B8:B10)/7)</f>
        <v>0</v>
      </c>
      <c r="J12" s="40"/>
    </row>
    <row r="38" spans="1:10" x14ac:dyDescent="0.25">
      <c r="A38" s="34" t="s">
        <v>84</v>
      </c>
      <c r="B38" s="34"/>
      <c r="C38" s="34"/>
      <c r="D38" s="34"/>
      <c r="E38" s="34"/>
      <c r="F38" s="34"/>
      <c r="G38" s="34"/>
      <c r="H38" s="34"/>
      <c r="I38" s="34"/>
      <c r="J38" s="34"/>
    </row>
    <row r="39" spans="1:10" x14ac:dyDescent="0.25">
      <c r="A39" s="35"/>
      <c r="B39" s="35" t="s">
        <v>52</v>
      </c>
      <c r="C39" s="35" t="s">
        <v>74</v>
      </c>
      <c r="D39" s="35" t="s">
        <v>75</v>
      </c>
      <c r="E39" s="35" t="s">
        <v>76</v>
      </c>
      <c r="F39" s="35" t="s">
        <v>77</v>
      </c>
      <c r="G39" s="35" t="s">
        <v>78</v>
      </c>
      <c r="H39" s="35" t="s">
        <v>79</v>
      </c>
      <c r="I39" s="35" t="s">
        <v>80</v>
      </c>
      <c r="J39" s="35" t="s">
        <v>81</v>
      </c>
    </row>
    <row r="40" spans="1:10" x14ac:dyDescent="0.25">
      <c r="A40" s="36" t="s">
        <v>42</v>
      </c>
      <c r="B40" s="37">
        <v>0</v>
      </c>
      <c r="C40" s="36">
        <v>0</v>
      </c>
      <c r="D40" s="36">
        <v>0</v>
      </c>
      <c r="E40" s="36">
        <v>0</v>
      </c>
      <c r="F40" s="36">
        <v>0</v>
      </c>
      <c r="G40" s="36">
        <v>0</v>
      </c>
      <c r="H40" s="36">
        <v>0</v>
      </c>
      <c r="I40" s="36">
        <v>0</v>
      </c>
      <c r="J40" s="38">
        <f>SUM(C40:I40)</f>
        <v>0</v>
      </c>
    </row>
    <row r="41" spans="1:10" x14ac:dyDescent="0.25">
      <c r="A41" s="36" t="s">
        <v>45</v>
      </c>
      <c r="B41" s="37">
        <v>0</v>
      </c>
      <c r="C41" s="36">
        <v>0</v>
      </c>
      <c r="D41" s="36">
        <v>0</v>
      </c>
      <c r="E41" s="36">
        <v>0</v>
      </c>
      <c r="F41" s="36">
        <v>0</v>
      </c>
      <c r="G41" s="36">
        <v>0</v>
      </c>
      <c r="H41" s="36">
        <v>0</v>
      </c>
      <c r="I41" s="36">
        <v>0</v>
      </c>
      <c r="J41" s="38">
        <f t="shared" ref="J41:J42" si="2">SUM(C41:I41)</f>
        <v>0</v>
      </c>
    </row>
    <row r="42" spans="1:10" x14ac:dyDescent="0.25">
      <c r="A42" s="36" t="s">
        <v>47</v>
      </c>
      <c r="B42" s="37">
        <v>0</v>
      </c>
      <c r="C42" s="36">
        <v>0</v>
      </c>
      <c r="D42" s="36">
        <v>0</v>
      </c>
      <c r="E42" s="36">
        <v>0</v>
      </c>
      <c r="F42" s="36">
        <v>0</v>
      </c>
      <c r="G42" s="36">
        <v>0</v>
      </c>
      <c r="H42" s="36">
        <v>0</v>
      </c>
      <c r="I42" s="36">
        <v>0</v>
      </c>
      <c r="J42" s="38">
        <f t="shared" si="2"/>
        <v>0</v>
      </c>
    </row>
    <row r="43" spans="1:10" x14ac:dyDescent="0.25">
      <c r="A43" s="39" t="s">
        <v>82</v>
      </c>
      <c r="B43" s="35">
        <f t="shared" ref="B43:I43" si="3">SUM(B40:B42)</f>
        <v>0</v>
      </c>
      <c r="C43" s="35">
        <f t="shared" si="3"/>
        <v>0</v>
      </c>
      <c r="D43" s="35">
        <f t="shared" si="3"/>
        <v>0</v>
      </c>
      <c r="E43" s="35">
        <f t="shared" si="3"/>
        <v>0</v>
      </c>
      <c r="F43" s="35">
        <f t="shared" si="3"/>
        <v>0</v>
      </c>
      <c r="G43" s="35">
        <f t="shared" si="3"/>
        <v>0</v>
      </c>
      <c r="H43" s="35">
        <f t="shared" si="3"/>
        <v>0</v>
      </c>
      <c r="I43" s="35">
        <f t="shared" si="3"/>
        <v>0</v>
      </c>
      <c r="J43" s="40"/>
    </row>
    <row r="44" spans="1:10" x14ac:dyDescent="0.25">
      <c r="A44" s="39" t="s">
        <v>83</v>
      </c>
      <c r="B44" s="35">
        <f>SUM(B40:B42)</f>
        <v>0</v>
      </c>
      <c r="C44" s="35">
        <f>B44-(SUM(B40:B42)/7)</f>
        <v>0</v>
      </c>
      <c r="D44" s="35">
        <f>C44-(SUM(B40:B42)/7)</f>
        <v>0</v>
      </c>
      <c r="E44" s="35">
        <f>D44-(SUM(B40:B42)/7)</f>
        <v>0</v>
      </c>
      <c r="F44" s="35">
        <f>E44-(SUM(B40:B42)/7)</f>
        <v>0</v>
      </c>
      <c r="G44" s="35">
        <f>F44-(SUM(B40:B42)/7)</f>
        <v>0</v>
      </c>
      <c r="H44" s="35">
        <f>G44-(SUM(B40:B42)/7)</f>
        <v>0</v>
      </c>
      <c r="I44" s="35">
        <f>H44-(SUM(B40:B42)/7)</f>
        <v>0</v>
      </c>
      <c r="J44" s="40"/>
    </row>
    <row r="69" spans="1:10" x14ac:dyDescent="0.25">
      <c r="A69" s="34" t="s">
        <v>85</v>
      </c>
      <c r="B69" s="34"/>
      <c r="C69" s="34"/>
      <c r="D69" s="34"/>
      <c r="E69" s="34"/>
      <c r="F69" s="34"/>
      <c r="G69" s="34"/>
      <c r="H69" s="34"/>
      <c r="I69" s="34"/>
      <c r="J69" s="34"/>
    </row>
    <row r="70" spans="1:10" x14ac:dyDescent="0.25">
      <c r="A70" s="35"/>
      <c r="B70" s="35" t="s">
        <v>52</v>
      </c>
      <c r="C70" s="35" t="s">
        <v>74</v>
      </c>
      <c r="D70" s="35" t="s">
        <v>75</v>
      </c>
      <c r="E70" s="35" t="s">
        <v>76</v>
      </c>
      <c r="F70" s="35" t="s">
        <v>77</v>
      </c>
      <c r="G70" s="35" t="s">
        <v>78</v>
      </c>
      <c r="H70" s="35" t="s">
        <v>79</v>
      </c>
      <c r="I70" s="35" t="s">
        <v>80</v>
      </c>
      <c r="J70" s="35" t="s">
        <v>81</v>
      </c>
    </row>
    <row r="71" spans="1:10" x14ac:dyDescent="0.25">
      <c r="A71" s="36" t="s">
        <v>53</v>
      </c>
      <c r="B71" s="37">
        <v>3</v>
      </c>
      <c r="C71" s="36">
        <v>0</v>
      </c>
      <c r="D71" s="36">
        <v>0</v>
      </c>
      <c r="E71" s="36">
        <v>0</v>
      </c>
      <c r="F71" s="36">
        <v>1</v>
      </c>
      <c r="G71" s="36">
        <v>0</v>
      </c>
      <c r="H71" s="36">
        <v>0</v>
      </c>
      <c r="I71" s="36">
        <v>0</v>
      </c>
      <c r="J71" s="38">
        <f>SUM(C71:I71)</f>
        <v>1</v>
      </c>
    </row>
    <row r="72" spans="1:10" x14ac:dyDescent="0.25">
      <c r="A72" s="36" t="s">
        <v>56</v>
      </c>
      <c r="B72" s="37">
        <v>4</v>
      </c>
      <c r="C72" s="36">
        <v>0</v>
      </c>
      <c r="D72" s="36">
        <v>0</v>
      </c>
      <c r="E72" s="36">
        <v>0</v>
      </c>
      <c r="F72" s="36">
        <v>1</v>
      </c>
      <c r="G72" s="36">
        <v>0</v>
      </c>
      <c r="H72" s="36">
        <v>0</v>
      </c>
      <c r="I72" s="36">
        <v>0</v>
      </c>
      <c r="J72" s="38">
        <f t="shared" ref="J72:J75" si="4">SUM(C72:I72)</f>
        <v>1</v>
      </c>
    </row>
    <row r="73" spans="1:10" x14ac:dyDescent="0.25">
      <c r="A73" s="36" t="s">
        <v>58</v>
      </c>
      <c r="B73" s="37">
        <v>1.5</v>
      </c>
      <c r="C73" s="36">
        <v>0</v>
      </c>
      <c r="D73" s="36">
        <v>0</v>
      </c>
      <c r="E73" s="36">
        <v>0.5</v>
      </c>
      <c r="F73" s="36">
        <v>1</v>
      </c>
      <c r="G73" s="36">
        <v>0</v>
      </c>
      <c r="H73" s="36">
        <v>0</v>
      </c>
      <c r="I73" s="36">
        <v>0</v>
      </c>
      <c r="J73" s="38">
        <f t="shared" si="4"/>
        <v>1.5</v>
      </c>
    </row>
    <row r="74" spans="1:10" x14ac:dyDescent="0.25">
      <c r="A74" s="36" t="s">
        <v>60</v>
      </c>
      <c r="B74" s="37">
        <v>2.5</v>
      </c>
      <c r="C74" s="36">
        <v>0</v>
      </c>
      <c r="D74" s="36">
        <v>0.5</v>
      </c>
      <c r="E74" s="36">
        <v>0</v>
      </c>
      <c r="F74" s="36">
        <v>0</v>
      </c>
      <c r="G74" s="36">
        <v>0</v>
      </c>
      <c r="H74" s="36">
        <v>0</v>
      </c>
      <c r="I74" s="36">
        <v>0</v>
      </c>
      <c r="J74" s="38">
        <f t="shared" si="4"/>
        <v>0.5</v>
      </c>
    </row>
    <row r="75" spans="1:10" x14ac:dyDescent="0.25">
      <c r="A75" s="36" t="s">
        <v>62</v>
      </c>
      <c r="B75" s="37">
        <v>0.5</v>
      </c>
      <c r="C75" s="36">
        <v>0</v>
      </c>
      <c r="D75" s="36">
        <v>0</v>
      </c>
      <c r="E75" s="36">
        <v>0</v>
      </c>
      <c r="F75" s="36">
        <v>0</v>
      </c>
      <c r="G75" s="36">
        <v>0</v>
      </c>
      <c r="H75" s="36">
        <v>0</v>
      </c>
      <c r="I75" s="36">
        <v>0</v>
      </c>
      <c r="J75" s="38">
        <f t="shared" si="4"/>
        <v>0</v>
      </c>
    </row>
    <row r="76" spans="1:10" x14ac:dyDescent="0.25">
      <c r="A76" s="39" t="s">
        <v>82</v>
      </c>
      <c r="B76" s="35">
        <f t="shared" ref="B76:I76" si="5">SUM(B71:B75)</f>
        <v>11.5</v>
      </c>
      <c r="C76" s="35">
        <f t="shared" si="5"/>
        <v>0</v>
      </c>
      <c r="D76" s="35">
        <f t="shared" si="5"/>
        <v>0.5</v>
      </c>
      <c r="E76" s="35">
        <f t="shared" si="5"/>
        <v>0.5</v>
      </c>
      <c r="F76" s="35">
        <f t="shared" si="5"/>
        <v>3</v>
      </c>
      <c r="G76" s="35">
        <f t="shared" si="5"/>
        <v>0</v>
      </c>
      <c r="H76" s="35">
        <f t="shared" si="5"/>
        <v>0</v>
      </c>
      <c r="I76" s="35">
        <f t="shared" si="5"/>
        <v>0</v>
      </c>
      <c r="J76" s="40"/>
    </row>
    <row r="77" spans="1:10" x14ac:dyDescent="0.25">
      <c r="A77" s="39" t="s">
        <v>83</v>
      </c>
      <c r="B77" s="35">
        <f>SUM(B71:B75)</f>
        <v>11.5</v>
      </c>
      <c r="C77" s="35">
        <f>B77-(SUM(B71:B75)/7)</f>
        <v>9.8571428571428577</v>
      </c>
      <c r="D77" s="35">
        <f>C77-(SUM(B71:B75)/7)</f>
        <v>8.2142857142857153</v>
      </c>
      <c r="E77" s="35">
        <f>D77-(SUM(B71:B75)/7)</f>
        <v>6.571428571428573</v>
      </c>
      <c r="F77" s="35">
        <f>E77-(SUM(B71:B75)/7)</f>
        <v>4.9285714285714306</v>
      </c>
      <c r="G77" s="35">
        <f>F77-(SUM(B71:B75)/7)</f>
        <v>3.2857142857142878</v>
      </c>
      <c r="H77" s="35">
        <f>G77-(SUM(B71:B75)/7)</f>
        <v>1.642857142857145</v>
      </c>
      <c r="I77" s="35">
        <f>H77-(SUM(B71:B75)/7)</f>
        <v>2.2204460492503131E-15</v>
      </c>
      <c r="J77" s="40"/>
    </row>
    <row r="102" spans="1:10" x14ac:dyDescent="0.25">
      <c r="A102" s="34" t="s">
        <v>86</v>
      </c>
      <c r="B102" s="34"/>
      <c r="C102" s="34"/>
      <c r="D102" s="34"/>
      <c r="E102" s="34"/>
      <c r="F102" s="34"/>
      <c r="G102" s="34"/>
      <c r="H102" s="34"/>
      <c r="I102" s="34"/>
      <c r="J102" s="34"/>
    </row>
    <row r="103" spans="1:10" x14ac:dyDescent="0.25">
      <c r="A103" s="35"/>
      <c r="B103" s="35" t="s">
        <v>52</v>
      </c>
      <c r="C103" s="35" t="s">
        <v>74</v>
      </c>
      <c r="D103" s="35" t="s">
        <v>75</v>
      </c>
      <c r="E103" s="35" t="s">
        <v>76</v>
      </c>
      <c r="F103" s="35" t="s">
        <v>77</v>
      </c>
      <c r="G103" s="35" t="s">
        <v>78</v>
      </c>
      <c r="H103" s="35" t="s">
        <v>79</v>
      </c>
      <c r="I103" s="35" t="s">
        <v>80</v>
      </c>
      <c r="J103" s="35" t="s">
        <v>81</v>
      </c>
    </row>
    <row r="104" spans="1:10" x14ac:dyDescent="0.25">
      <c r="A104" s="36" t="s">
        <v>64</v>
      </c>
      <c r="B104" s="37">
        <v>0</v>
      </c>
      <c r="C104" s="36">
        <v>0</v>
      </c>
      <c r="D104" s="36">
        <v>0</v>
      </c>
      <c r="E104" s="36">
        <v>0</v>
      </c>
      <c r="F104" s="36">
        <v>0</v>
      </c>
      <c r="G104" s="36">
        <v>0</v>
      </c>
      <c r="H104" s="36">
        <v>0</v>
      </c>
      <c r="I104" s="36">
        <v>0</v>
      </c>
      <c r="J104" s="38">
        <f>SUM(C104:I104)</f>
        <v>0</v>
      </c>
    </row>
    <row r="105" spans="1:10" x14ac:dyDescent="0.25">
      <c r="A105" s="36" t="s">
        <v>67</v>
      </c>
      <c r="B105" s="37">
        <v>0</v>
      </c>
      <c r="C105" s="36">
        <v>0</v>
      </c>
      <c r="D105" s="36">
        <v>0</v>
      </c>
      <c r="E105" s="36">
        <v>0</v>
      </c>
      <c r="F105" s="36">
        <v>0</v>
      </c>
      <c r="G105" s="36">
        <v>0</v>
      </c>
      <c r="H105" s="36">
        <v>0</v>
      </c>
      <c r="I105" s="36">
        <v>0</v>
      </c>
      <c r="J105" s="38">
        <f t="shared" ref="J105:J107" si="6">SUM(C105:I105)</f>
        <v>0</v>
      </c>
    </row>
    <row r="106" spans="1:10" x14ac:dyDescent="0.25">
      <c r="A106" s="36" t="s">
        <v>69</v>
      </c>
      <c r="B106" s="37">
        <v>0</v>
      </c>
      <c r="C106" s="36">
        <v>0</v>
      </c>
      <c r="D106" s="36">
        <v>0</v>
      </c>
      <c r="E106" s="36">
        <v>0</v>
      </c>
      <c r="F106" s="36">
        <v>0</v>
      </c>
      <c r="G106" s="36">
        <v>0</v>
      </c>
      <c r="H106" s="36">
        <v>0</v>
      </c>
      <c r="I106" s="36">
        <v>0</v>
      </c>
      <c r="J106" s="38">
        <f t="shared" si="6"/>
        <v>0</v>
      </c>
    </row>
    <row r="107" spans="1:10" x14ac:dyDescent="0.25">
      <c r="A107" s="36" t="s">
        <v>71</v>
      </c>
      <c r="B107" s="37">
        <v>0</v>
      </c>
      <c r="C107" s="36">
        <v>0</v>
      </c>
      <c r="D107" s="36">
        <v>0</v>
      </c>
      <c r="E107" s="36">
        <v>0</v>
      </c>
      <c r="F107" s="36">
        <v>0</v>
      </c>
      <c r="G107" s="36">
        <v>0</v>
      </c>
      <c r="H107" s="36">
        <v>0</v>
      </c>
      <c r="I107" s="36">
        <v>0</v>
      </c>
      <c r="J107" s="38">
        <f t="shared" si="6"/>
        <v>0</v>
      </c>
    </row>
    <row r="108" spans="1:10" x14ac:dyDescent="0.25">
      <c r="A108" s="39" t="s">
        <v>82</v>
      </c>
      <c r="B108" s="35">
        <f t="shared" ref="B108:I108" si="7">SUM(B104:B107)</f>
        <v>0</v>
      </c>
      <c r="C108" s="35">
        <f t="shared" si="7"/>
        <v>0</v>
      </c>
      <c r="D108" s="35">
        <f t="shared" si="7"/>
        <v>0</v>
      </c>
      <c r="E108" s="35">
        <f t="shared" si="7"/>
        <v>0</v>
      </c>
      <c r="F108" s="35">
        <f t="shared" si="7"/>
        <v>0</v>
      </c>
      <c r="G108" s="35">
        <f t="shared" si="7"/>
        <v>0</v>
      </c>
      <c r="H108" s="35">
        <f t="shared" si="7"/>
        <v>0</v>
      </c>
      <c r="I108" s="35">
        <f t="shared" si="7"/>
        <v>0</v>
      </c>
      <c r="J108" s="40"/>
    </row>
    <row r="109" spans="1:10" x14ac:dyDescent="0.25">
      <c r="A109" s="39" t="s">
        <v>83</v>
      </c>
      <c r="B109" s="35">
        <f>SUM(B104:B107)</f>
        <v>0</v>
      </c>
      <c r="C109" s="35">
        <f>B109-(SUM(B104:B107)/7)</f>
        <v>0</v>
      </c>
      <c r="D109" s="35">
        <f>C109-(SUM(B104:B107)/7)</f>
        <v>0</v>
      </c>
      <c r="E109" s="35">
        <f>D109-(SUM(B104:B107)/7)</f>
        <v>0</v>
      </c>
      <c r="F109" s="35">
        <f>E109-(SUM(B104:B107)/7)</f>
        <v>0</v>
      </c>
      <c r="G109" s="35">
        <f>F109-(SUM(B104:B107)/7)</f>
        <v>0</v>
      </c>
      <c r="H109" s="35">
        <f>G109-(SUM(B104:B107)/7)</f>
        <v>0</v>
      </c>
      <c r="I109" s="35">
        <f>H109-(SUM(B104:B107)/7)</f>
        <v>0</v>
      </c>
      <c r="J109" s="40"/>
    </row>
  </sheetData>
  <mergeCells count="4">
    <mergeCell ref="A6:J6"/>
    <mergeCell ref="A38:J38"/>
    <mergeCell ref="A69:J69"/>
    <mergeCell ref="A102:J10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Backlog</vt:lpstr>
      <vt:lpstr>Sprint2</vt:lpstr>
      <vt:lpstr>burdonchart - 2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Mateo Ct</dc:creator>
  <cp:lastModifiedBy>Mateo Ct</cp:lastModifiedBy>
  <dcterms:created xsi:type="dcterms:W3CDTF">2026-06-16T23:57:57Z</dcterms:created>
  <dcterms:modified xsi:type="dcterms:W3CDTF">2026-06-17T00:10:47Z</dcterms:modified>
</cp:coreProperties>
</file>