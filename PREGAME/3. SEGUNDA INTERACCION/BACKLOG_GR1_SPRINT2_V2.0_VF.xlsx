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 USUARIO\Downloads\"/>
    </mc:Choice>
  </mc:AlternateContent>
  <xr:revisionPtr revIDLastSave="0" documentId="8_{DD88AE03-78C6-42B3-A534-DB3840EE8153}" xr6:coauthVersionLast="47" xr6:coauthVersionMax="47" xr10:uidLastSave="{00000000-0000-0000-0000-000000000000}"/>
  <bookViews>
    <workbookView xWindow="-120" yWindow="-120" windowWidth="20730" windowHeight="11040" activeTab="1" xr2:uid="{6812DF39-C578-4D6A-80EF-11CC754F2AC5}"/>
  </bookViews>
  <sheets>
    <sheet name="BackLog" sheetId="1" r:id="rId1"/>
    <sheet name="Sprint 2" sheetId="2" r:id="rId2"/>
    <sheet name="Budorchant 2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6" i="3" l="1"/>
  <c r="C106" i="3" s="1"/>
  <c r="D106" i="3" s="1"/>
  <c r="E106" i="3" s="1"/>
  <c r="F106" i="3" s="1"/>
  <c r="G106" i="3" s="1"/>
  <c r="H106" i="3" s="1"/>
  <c r="I106" i="3" s="1"/>
  <c r="I105" i="3"/>
  <c r="H105" i="3"/>
  <c r="G105" i="3"/>
  <c r="F105" i="3"/>
  <c r="E105" i="3"/>
  <c r="D105" i="3"/>
  <c r="C105" i="3"/>
  <c r="J105" i="3" s="1"/>
  <c r="B105" i="3"/>
  <c r="J104" i="3"/>
  <c r="J103" i="3"/>
  <c r="J102" i="3"/>
  <c r="B75" i="3"/>
  <c r="C75" i="3" s="1"/>
  <c r="D75" i="3" s="1"/>
  <c r="E75" i="3" s="1"/>
  <c r="F75" i="3" s="1"/>
  <c r="G75" i="3" s="1"/>
  <c r="H75" i="3" s="1"/>
  <c r="I75" i="3" s="1"/>
  <c r="I74" i="3"/>
  <c r="H74" i="3"/>
  <c r="G74" i="3"/>
  <c r="J74" i="3" s="1"/>
  <c r="F74" i="3"/>
  <c r="E74" i="3"/>
  <c r="D74" i="3"/>
  <c r="C74" i="3"/>
  <c r="B74" i="3"/>
  <c r="J73" i="3"/>
  <c r="J72" i="3"/>
  <c r="J71" i="3"/>
  <c r="J70" i="3"/>
  <c r="J69" i="3"/>
  <c r="B42" i="3"/>
  <c r="C42" i="3" s="1"/>
  <c r="D42" i="3" s="1"/>
  <c r="E42" i="3" s="1"/>
  <c r="F42" i="3" s="1"/>
  <c r="G42" i="3" s="1"/>
  <c r="H42" i="3" s="1"/>
  <c r="I42" i="3" s="1"/>
  <c r="I41" i="3"/>
  <c r="H41" i="3"/>
  <c r="G41" i="3"/>
  <c r="F41" i="3"/>
  <c r="E41" i="3"/>
  <c r="D41" i="3"/>
  <c r="C41" i="3"/>
  <c r="J41" i="3" s="1"/>
  <c r="B41" i="3"/>
  <c r="J40" i="3"/>
  <c r="J39" i="3"/>
  <c r="J38" i="3"/>
  <c r="J37" i="3"/>
  <c r="B9" i="3"/>
  <c r="C9" i="3" s="1"/>
  <c r="D9" i="3" s="1"/>
  <c r="E9" i="3" s="1"/>
  <c r="F9" i="3" s="1"/>
  <c r="G9" i="3" s="1"/>
  <c r="H9" i="3" s="1"/>
  <c r="I9" i="3" s="1"/>
  <c r="I8" i="3"/>
  <c r="H8" i="3"/>
  <c r="G8" i="3"/>
  <c r="F8" i="3"/>
  <c r="E8" i="3"/>
  <c r="D8" i="3"/>
  <c r="C8" i="3"/>
  <c r="J8" i="3" s="1"/>
  <c r="B8" i="3"/>
  <c r="J7" i="3"/>
  <c r="J6" i="3"/>
  <c r="J5" i="3"/>
  <c r="J28" i="2"/>
  <c r="J15" i="2"/>
  <c r="J9" i="2"/>
  <c r="J4" i="2"/>
  <c r="K3" i="3" l="1"/>
</calcChain>
</file>

<file path=xl/sharedStrings.xml><?xml version="1.0" encoding="utf-8"?>
<sst xmlns="http://schemas.openxmlformats.org/spreadsheetml/2006/main" count="201" uniqueCount="90">
  <si>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</si>
  <si>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</si>
  <si>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</si>
  <si>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</si>
  <si>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</si>
  <si>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</si>
  <si>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</si>
  <si>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</si>
  <si>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REQ006</t>
  </si>
  <si>
    <t>Alerta de Fecha Cumpleaños Clientes</t>
  </si>
  <si>
    <t>Administrador del sistema</t>
  </si>
  <si>
    <t>Ver una alerta automática en el panel con los clientes que cumplen años en los proximos dias.</t>
  </si>
  <si>
    <t>Gestionar felicitaciones oportunas y ofrecer promociones exclusivas para mejorar su fidelización.</t>
  </si>
  <si>
    <t>Alta</t>
  </si>
  <si>
    <t>Terminado</t>
  </si>
  <si>
    <t>REQ007</t>
  </si>
  <si>
    <t>Registro Clientes Potenciales</t>
  </si>
  <si>
    <t>Registrar personas interesadas en los productos</t>
  </si>
  <si>
    <t>Llevar un seguimiento organizado de posibles compradores</t>
  </si>
  <si>
    <t>-</t>
  </si>
  <si>
    <t>REQ008</t>
  </si>
  <si>
    <t>Gestión de Clientes Potenciales</t>
  </si>
  <si>
    <t>Actualizar los datos de contacto y gestionar la baja de los clientes potenciales.</t>
  </si>
  <si>
    <t>Mantener actualizada la información de los clientes potenciales y controlar mejor quién sigue interesado y quién ya no.</t>
  </si>
  <si>
    <t>REQ009</t>
  </si>
  <si>
    <t>Gestión de clientes inactivos</t>
  </si>
  <si>
    <t>Reactivar o eliminar clientes inactivos.</t>
  </si>
  <si>
    <t>Mantener un listado de clientes activos sin perder el historial de ventas</t>
  </si>
  <si>
    <t>SPRINT 2</t>
  </si>
  <si>
    <t>Alerta de Cumpleaños, Registro y Gestion de Clientes Potenciales</t>
  </si>
  <si>
    <t>Necesito</t>
  </si>
  <si>
    <t>así podre...</t>
  </si>
  <si>
    <t>Prioridad</t>
  </si>
  <si>
    <t>Status</t>
  </si>
  <si>
    <t>Administrador del Sistema</t>
  </si>
  <si>
    <t>#intentos</t>
  </si>
  <si>
    <t xml:space="preserve">Tareas </t>
  </si>
  <si>
    <t>Asignado</t>
  </si>
  <si>
    <t>REQ006-1</t>
  </si>
  <si>
    <t>Agregar el atributo de Fecha de cumpleaños al Cliente</t>
  </si>
  <si>
    <t>Esteban Cuichan</t>
  </si>
  <si>
    <t>REQ006-2</t>
  </si>
  <si>
    <t xml:space="preserve"> Agregar al formulario del cliente el campo de elección de fecha</t>
  </si>
  <si>
    <t>REQ006-3</t>
  </si>
  <si>
    <t>Configurar que el ingreso no sea obligatorio</t>
  </si>
  <si>
    <t>REQ007-1</t>
  </si>
  <si>
    <t>Conexion de la GUI con los metodos para el ingreso de datos</t>
  </si>
  <si>
    <t>Eatan Ayala</t>
  </si>
  <si>
    <t>REQ007-2</t>
  </si>
  <si>
    <t>Ingreso de datos para un posible cliente dependiendo el campo</t>
  </si>
  <si>
    <t>REQ007-3</t>
  </si>
  <si>
    <t>Asignacion del Estado de "Cliente Pontencial"</t>
  </si>
  <si>
    <t>REQ007-4</t>
  </si>
  <si>
    <t xml:space="preserve">Insertar en la base de datos el cliente registrado </t>
  </si>
  <si>
    <t>Tareas</t>
  </si>
  <si>
    <t>Estimado</t>
  </si>
  <si>
    <t>REQ008-1</t>
  </si>
  <si>
    <t>Maquetación del modulo de clientes potenciales</t>
  </si>
  <si>
    <t>Johan Catota</t>
  </si>
  <si>
    <t>REQ008-2</t>
  </si>
  <si>
    <t>Implementación de consulta de clientes potenciales</t>
  </si>
  <si>
    <t>REQ008-3</t>
  </si>
  <si>
    <t>Actualización de datos de Clientes Potenciales</t>
  </si>
  <si>
    <t>REQ008-4</t>
  </si>
  <si>
    <t>Gestión de eliminacion de clientes potenciales</t>
  </si>
  <si>
    <t>REQ008-5</t>
  </si>
  <si>
    <t>Pruebas del módulo de clientes potenciales</t>
  </si>
  <si>
    <t>REQ009-1</t>
  </si>
  <si>
    <t>Filtrado y consulta de clientes por ID o cédula</t>
  </si>
  <si>
    <t>Katherine Caizaluisa</t>
  </si>
  <si>
    <t>REQ009-2</t>
  </si>
  <si>
    <t>Cambio de estado del Cliente</t>
  </si>
  <si>
    <t>REQ009-3</t>
  </si>
  <si>
    <t>Validaciones y mensajes de error</t>
  </si>
  <si>
    <t>SPRINT 2  - Catalogo de Productos, Cumpleaños, Clientes Potenciales</t>
  </si>
  <si>
    <t>SUMA TOTAL SPRINT</t>
  </si>
  <si>
    <t>REQ006 - ALERTA DE FECHA DE CUMPLEAÑOS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</si>
  <si>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</si>
  <si>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</si>
  <si>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</si>
  <si>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</si>
  <si>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</si>
  <si>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</si>
  <si>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</si>
  <si>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</si>
  <si>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</si>
  <si>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</si>
  <si>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REQ007 -REGISTRO DE CLIENTES POTENCIALES</t>
  </si>
  <si>
    <t>REQ008 - GESTIÓN DE CLIENTES POTENCIALES</t>
  </si>
  <si>
    <t>REQ009 - GESTIÓN DE CLIENTES INACTIVOS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</si>
</sst>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1" fillId="2" borderId="2" xfId="3" applyFill="1" applyBorder="1"/>
    <xf numFmtId="0" fontId="1" fillId="2" borderId="2" xfId="3" applyFill="1" applyBorder="1" applyAlignment="1">
      <alignment horizontal="left" vertical="center" wrapText="1"/>
    </xf>
    <xf numFmtId="0" fontId="2" fillId="0" borderId="3" xfId="3" applyFont="1" applyBorder="1" applyAlignment="1">
      <alignment horizontal="center"/>
    </xf>
    <xf numFmtId="0" fontId="5" fillId="3" borderId="4" xfId="3" applyFont="1" applyFill="1" applyBorder="1"/>
    <xf numFmtId="0" fontId="5" fillId="3" borderId="4" xfId="3" applyFont="1" applyFill="1" applyBorder="1" applyAlignment="1">
      <alignment horizontal="left" wrapText="1"/>
    </xf>
    <xf numFmtId="0" fontId="5" fillId="3" borderId="4" xfId="3" applyFont="1" applyFill="1" applyBorder="1" applyAlignment="1">
      <alignment wrapText="1"/>
    </xf>
    <xf numFmtId="0" fontId="5" fillId="3" borderId="3" xfId="3" applyFont="1" applyFill="1" applyBorder="1"/>
    <xf numFmtId="0" fontId="1" fillId="0" borderId="0" xfId="3"/>
    <xf numFmtId="0" fontId="1" fillId="0" borderId="2" xfId="3" applyBorder="1"/>
    <xf numFmtId="0" fontId="2" fillId="0" borderId="3" xfId="3" applyFont="1" applyBorder="1"/>
    <xf numFmtId="0" fontId="6" fillId="0" borderId="2" xfId="3" applyFont="1" applyBorder="1"/>
    <xf numFmtId="0" fontId="7" fillId="0" borderId="3" xfId="3" applyFont="1" applyBorder="1"/>
    <xf numFmtId="0" fontId="8" fillId="0" borderId="3" xfId="3" applyFont="1" applyBorder="1"/>
    <xf numFmtId="0" fontId="5" fillId="3" borderId="2" xfId="3" applyFont="1" applyFill="1" applyBorder="1"/>
    <xf numFmtId="0" fontId="5" fillId="3" borderId="2" xfId="3" applyFont="1" applyFill="1" applyBorder="1" applyAlignment="1">
      <alignment horizontal="left" wrapText="1"/>
    </xf>
    <xf numFmtId="0" fontId="5" fillId="3" borderId="2" xfId="3" applyFont="1" applyFill="1" applyBorder="1" applyAlignment="1">
      <alignment wrapText="1"/>
    </xf>
    <xf numFmtId="0" fontId="9" fillId="0" borderId="2" xfId="3" applyFont="1" applyBorder="1"/>
    <xf numFmtId="0" fontId="5" fillId="0" borderId="2" xfId="3" applyFont="1" applyBorder="1"/>
    <xf numFmtId="0" fontId="2" fillId="0" borderId="2" xfId="3" applyFont="1" applyBorder="1"/>
    <xf numFmtId="0" fontId="10" fillId="0" borderId="2" xfId="3" applyFont="1" applyBorder="1"/>
    <xf numFmtId="0" fontId="7" fillId="0" borderId="0" xfId="3" applyFont="1"/>
    <xf numFmtId="0" fontId="8" fillId="0" borderId="0" xfId="3" applyFont="1"/>
    <xf numFmtId="0" fontId="5" fillId="3" borderId="2" xfId="4" applyFont="1" applyFill="1" applyBorder="1"/>
    <xf numFmtId="0" fontId="5" fillId="3" borderId="2" xfId="4" applyFont="1" applyFill="1" applyBorder="1" applyAlignment="1">
      <alignment horizontal="left" wrapText="1"/>
    </xf>
    <xf numFmtId="0" fontId="5" fillId="3" borderId="2" xfId="4" applyFont="1" applyFill="1" applyBorder="1" applyAlignment="1">
      <alignment wrapText="1"/>
    </xf>
    <xf numFmtId="0" fontId="1" fillId="0" borderId="2" xfId="4" applyBorder="1"/>
    <xf numFmtId="0" fontId="2" fillId="0" borderId="2" xfId="4" applyFont="1" applyBorder="1"/>
    <xf numFmtId="0" fontId="5" fillId="0" borderId="2" xfId="4" applyFont="1" applyBorder="1"/>
    <xf numFmtId="0" fontId="0" fillId="0" borderId="0" xfId="3" applyFont="1" applyAlignment="1">
      <alignment horizontal="center"/>
    </xf>
    <xf numFmtId="0" fontId="1" fillId="0" borderId="2" xfId="3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" fillId="4" borderId="2" xfId="3" applyFill="1" applyBorder="1" applyAlignment="1">
      <alignment horizontal="center" vertical="center"/>
    </xf>
    <xf numFmtId="0" fontId="1" fillId="5" borderId="2" xfId="3" applyFill="1" applyBorder="1" applyAlignment="1">
      <alignment horizontal="center" vertical="center"/>
    </xf>
    <xf numFmtId="0" fontId="5" fillId="6" borderId="2" xfId="3" applyFont="1" applyFill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0" fillId="5" borderId="2" xfId="3" applyFont="1" applyFill="1" applyBorder="1" applyAlignment="1">
      <alignment horizontal="center" vertical="center"/>
    </xf>
  </cellXfs>
  <cellStyles count="5">
    <cellStyle name="Normal" xfId="0" builtinId="0"/>
    <cellStyle name="Normal 2" xfId="3" xr:uid="{4570774B-3D8A-4ED7-9D0D-C56184CD28C1}"/>
    <cellStyle name="Normal 3" xfId="1" xr:uid="{7C8C8E5A-D409-4008-BFC0-D6171C73AE42}"/>
    <cellStyle name="Normal 4" xfId="2" xr:uid="{FEA7C38A-AB62-470E-9780-EDAB452C73FC}"/>
    <cellStyle name="Normal 6" xfId="4" xr:uid="{2A3D3D74-C826-40F0-AE3D-A310612E2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- 2'!$B$8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- 2'!$C$8:$J$8</c:f>
              <c:numCache>
                <c:formatCode>General</c:formatCode>
                <c:ptCount val="8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4-422A-A2E9-C724293924B9}"/>
            </c:ext>
          </c:extLst>
        </c:ser>
        <c:ser>
          <c:idx val="1"/>
          <c:order val="1"/>
          <c:tx>
            <c:strRef>
              <c:f>'[1]burdonchart - 2'!$B$9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- 2'!$C$9:$J$9</c:f>
              <c:numCache>
                <c:formatCode>General</c:formatCode>
                <c:ptCount val="8"/>
                <c:pt idx="0">
                  <c:v>5</c:v>
                </c:pt>
                <c:pt idx="1">
                  <c:v>4.2857142857142856</c:v>
                </c:pt>
                <c:pt idx="2">
                  <c:v>3.5714285714285712</c:v>
                </c:pt>
                <c:pt idx="3">
                  <c:v>2.8571428571428568</c:v>
                </c:pt>
                <c:pt idx="4">
                  <c:v>2.1428571428571423</c:v>
                </c:pt>
                <c:pt idx="5">
                  <c:v>1.4285714285714279</c:v>
                </c:pt>
                <c:pt idx="6">
                  <c:v>0.71428571428571364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4-422A-A2E9-C72429392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- 2'!$B$41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- 2'!$C$41:$J$41</c:f>
              <c:numCache>
                <c:formatCode>General</c:formatCode>
                <c:ptCount val="8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7-4420-B242-B33403036327}"/>
            </c:ext>
          </c:extLst>
        </c:ser>
        <c:ser>
          <c:idx val="1"/>
          <c:order val="1"/>
          <c:tx>
            <c:strRef>
              <c:f>'[1]burdonchart - 2'!$B$42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- 2'!$C$42:$J$42</c:f>
              <c:numCache>
                <c:formatCode>General</c:formatCode>
                <c:ptCount val="8"/>
                <c:pt idx="0">
                  <c:v>4</c:v>
                </c:pt>
                <c:pt idx="1">
                  <c:v>3.4285714285714288</c:v>
                </c:pt>
                <c:pt idx="2">
                  <c:v>2.8571428571428577</c:v>
                </c:pt>
                <c:pt idx="3">
                  <c:v>2.2857142857142865</c:v>
                </c:pt>
                <c:pt idx="4">
                  <c:v>1.7142857142857151</c:v>
                </c:pt>
                <c:pt idx="5">
                  <c:v>1.1428571428571437</c:v>
                </c:pt>
                <c:pt idx="6">
                  <c:v>0.57142857142857229</c:v>
                </c:pt>
                <c:pt idx="7">
                  <c:v>8.8817841970012523E-16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7-4420-B242-B33403036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- 2'!$B$74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- 2'!$C$74:$J$74</c:f>
              <c:numCache>
                <c:formatCode>General</c:formatCode>
                <c:ptCount val="8"/>
                <c:pt idx="0">
                  <c:v>9.5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1.5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A-4903-B81F-0DDD93068E41}"/>
            </c:ext>
          </c:extLst>
        </c:ser>
        <c:ser>
          <c:idx val="1"/>
          <c:order val="1"/>
          <c:tx>
            <c:strRef>
              <c:f>'[1]burdonchart - 2'!$B$75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- 2'!$C$75:$J$75</c:f>
              <c:numCache>
                <c:formatCode>General</c:formatCode>
                <c:ptCount val="8"/>
                <c:pt idx="0">
                  <c:v>9.5</c:v>
                </c:pt>
                <c:pt idx="1">
                  <c:v>8.1428571428571423</c:v>
                </c:pt>
                <c:pt idx="2">
                  <c:v>6.7857142857142847</c:v>
                </c:pt>
                <c:pt idx="3">
                  <c:v>5.428571428571427</c:v>
                </c:pt>
                <c:pt idx="4">
                  <c:v>4.0714285714285694</c:v>
                </c:pt>
                <c:pt idx="5">
                  <c:v>2.7142857142857122</c:v>
                </c:pt>
                <c:pt idx="6">
                  <c:v>1.357142857142855</c:v>
                </c:pt>
                <c:pt idx="7">
                  <c:v>-2.2204460492503131E-15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A-4903-B81F-0DDD93068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356232833095"/>
          <c:y val="6.679694530429672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- 2'!$B$105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- 2'!$C$105:$J$105</c:f>
              <c:numCache>
                <c:formatCode>General</c:formatCode>
                <c:ptCount val="8"/>
                <c:pt idx="0">
                  <c:v>7</c:v>
                </c:pt>
                <c:pt idx="1">
                  <c:v>1.5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A-4FB5-85A3-01C80D83CC14}"/>
            </c:ext>
          </c:extLst>
        </c:ser>
        <c:ser>
          <c:idx val="1"/>
          <c:order val="1"/>
          <c:tx>
            <c:strRef>
              <c:f>'[1]burdonchart - 2'!$B$106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- 2'!$C$106:$J$106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A-4FB5-85A3-01C80D83C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07240971067771"/>
          <c:y val="8.6793379843546237E-2"/>
          <c:w val="0.3110621675614423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53569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6B63BB44-A5A8-4B1A-AC7A-9C84F8513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0</xdr:col>
      <xdr:colOff>1640635</xdr:colOff>
      <xdr:row>10</xdr:row>
      <xdr:rowOff>12700</xdr:rowOff>
    </xdr:from>
    <xdr:to>
      <xdr:col>7</xdr:col>
      <xdr:colOff>32808</xdr:colOff>
      <xdr:row>11</xdr:row>
      <xdr:rowOff>121603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DE9BAC4-BE66-40F0-AF8F-7C9C70F7BE80}"/>
            </a:ext>
            <a:ext uri="{147F2762-F138-4A5C-976F-8EAC2B608ADB}">
              <a16:predDERef xmlns:a16="http://schemas.microsoft.com/office/drawing/2014/main" pred="{F63C2296-7618-4379-8892-C351C4867C4E}"/>
            </a:ext>
          </a:extLst>
        </xdr:cNvPr>
        <xdr:cNvSpPr txBox="1"/>
      </xdr:nvSpPr>
      <xdr:spPr>
        <a:xfrm>
          <a:off x="2402635" y="1622425"/>
          <a:ext cx="5297798" cy="270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REQ006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ALERTA DE FECHA DE CUMPLEAÑOS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0</xdr:col>
      <xdr:colOff>752475</xdr:colOff>
      <xdr:row>43</xdr:row>
      <xdr:rowOff>38100</xdr:rowOff>
    </xdr:from>
    <xdr:ext cx="8582025" cy="290512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6BF08B30-AD00-4DB8-B407-172F593BCFC7}"/>
            </a:ext>
            <a:ext uri="{147F2762-F138-4A5C-976F-8EAC2B608ADB}">
              <a16:predDERef xmlns:a16="http://schemas.microsoft.com/office/drawing/2014/main" pred="{FD825ED6-462F-4CEA-8EEB-7BC991088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0</xdr:col>
      <xdr:colOff>1640635</xdr:colOff>
      <xdr:row>43</xdr:row>
      <xdr:rowOff>0</xdr:rowOff>
    </xdr:from>
    <xdr:to>
      <xdr:col>7</xdr:col>
      <xdr:colOff>32808</xdr:colOff>
      <xdr:row>44</xdr:row>
      <xdr:rowOff>108903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9BB9C2C-021F-4B1A-98A7-E16274E9CD7F}"/>
            </a:ext>
            <a:ext uri="{147F2762-F138-4A5C-976F-8EAC2B608ADB}">
              <a16:predDERef xmlns:a16="http://schemas.microsoft.com/office/drawing/2014/main" pred="{90C72B6B-4422-4A62-B845-1504270E1A65}"/>
            </a:ext>
          </a:extLst>
        </xdr:cNvPr>
        <xdr:cNvSpPr txBox="1"/>
      </xdr:nvSpPr>
      <xdr:spPr>
        <a:xfrm>
          <a:off x="2402635" y="6953250"/>
          <a:ext cx="5297798" cy="270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REQ007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0</xdr:col>
      <xdr:colOff>0</xdr:colOff>
      <xdr:row>76</xdr:row>
      <xdr:rowOff>38100</xdr:rowOff>
    </xdr:from>
    <xdr:ext cx="8629650" cy="3114675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9159884C-C506-405B-96C6-51287EC476BA}"/>
            </a:ext>
            <a:ext uri="{147F2762-F138-4A5C-976F-8EAC2B608ADB}">
              <a16:predDERef xmlns:a16="http://schemas.microsoft.com/office/drawing/2014/main" pred="{09557FDA-1E8A-49B3-A79A-9702707E5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0</xdr:col>
      <xdr:colOff>1640635</xdr:colOff>
      <xdr:row>76</xdr:row>
      <xdr:rowOff>0</xdr:rowOff>
    </xdr:from>
    <xdr:to>
      <xdr:col>7</xdr:col>
      <xdr:colOff>32808</xdr:colOff>
      <xdr:row>77</xdr:row>
      <xdr:rowOff>108903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A24B71B-A179-410D-91E0-D9D4BD4D23B1}"/>
            </a:ext>
            <a:ext uri="{147F2762-F138-4A5C-976F-8EAC2B608ADB}">
              <a16:predDERef xmlns:a16="http://schemas.microsoft.com/office/drawing/2014/main" pred="{24BCF082-A625-4E51-82E4-7E4F0DFE8248}"/>
            </a:ext>
          </a:extLst>
        </xdr:cNvPr>
        <xdr:cNvSpPr txBox="1"/>
      </xdr:nvSpPr>
      <xdr:spPr>
        <a:xfrm>
          <a:off x="2402635" y="12296775"/>
          <a:ext cx="5297798" cy="270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REQ008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GESTIÓN DE CLIENTES POTENCIALES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0</xdr:col>
      <xdr:colOff>704850</xdr:colOff>
      <xdr:row>109</xdr:row>
      <xdr:rowOff>12294</xdr:rowOff>
    </xdr:from>
    <xdr:ext cx="9065773" cy="3517077"/>
    <xdr:graphicFrame macro="">
      <xdr:nvGraphicFramePr>
        <xdr:cNvPr id="8" name="Chart 1" title="Gráfico">
          <a:extLst>
            <a:ext uri="{FF2B5EF4-FFF2-40B4-BE49-F238E27FC236}">
              <a16:creationId xmlns:a16="http://schemas.microsoft.com/office/drawing/2014/main" id="{72D6C16E-3073-4277-9591-2F9CFEF07CAA}"/>
            </a:ext>
            <a:ext uri="{147F2762-F138-4A5C-976F-8EAC2B608ADB}">
              <a16:predDERef xmlns:a16="http://schemas.microsoft.com/office/drawing/2014/main" pred="{C63B5BAA-AAD8-4DBB-AD3B-7B3325FB3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0</xdr:col>
      <xdr:colOff>1640635</xdr:colOff>
      <xdr:row>107</xdr:row>
      <xdr:rowOff>0</xdr:rowOff>
    </xdr:from>
    <xdr:to>
      <xdr:col>7</xdr:col>
      <xdr:colOff>32808</xdr:colOff>
      <xdr:row>108</xdr:row>
      <xdr:rowOff>108903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2A10D1C-7F84-4218-B3CC-AA3D3ED26B5D}"/>
            </a:ext>
            <a:ext uri="{147F2762-F138-4A5C-976F-8EAC2B608ADB}">
              <a16:predDERef xmlns:a16="http://schemas.microsoft.com/office/drawing/2014/main" pred="{34C77BB0-6F87-4CDF-B11F-DBF866BA3EB8}"/>
            </a:ext>
          </a:extLst>
        </xdr:cNvPr>
        <xdr:cNvSpPr txBox="1"/>
      </xdr:nvSpPr>
      <xdr:spPr>
        <a:xfrm>
          <a:off x="2402635" y="17316450"/>
          <a:ext cx="5297798" cy="270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REQ009 - GESTIÓN DE CLIENTES INACTIVOS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PER%20USUARIO\Downloads\BACKLOG_GR1.xlsx" TargetMode="External"/><Relationship Id="rId1" Type="http://schemas.openxmlformats.org/officeDocument/2006/relationships/externalLinkPath" Target="BACKLOG_G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  <sheetName val="Sprints"/>
      <sheetName val="burdonchart - 1"/>
      <sheetName val="burdonchart - 2"/>
      <sheetName val="burdochart-3"/>
      <sheetName val="burdochart final"/>
    </sheetNames>
    <sheetDataSet>
      <sheetData sheetId="0"/>
      <sheetData sheetId="1"/>
      <sheetData sheetId="2"/>
      <sheetData sheetId="3">
        <row r="8">
          <cell r="B8" t="str">
            <v>Horas Estimadas</v>
          </cell>
          <cell r="C8">
            <v>5</v>
          </cell>
          <cell r="D8">
            <v>0</v>
          </cell>
          <cell r="E8">
            <v>0</v>
          </cell>
          <cell r="F8">
            <v>0.5</v>
          </cell>
          <cell r="G8">
            <v>0.5</v>
          </cell>
          <cell r="H8">
            <v>2</v>
          </cell>
          <cell r="I8">
            <v>1</v>
          </cell>
          <cell r="J8">
            <v>1</v>
          </cell>
        </row>
        <row r="9">
          <cell r="B9" t="str">
            <v>Horas Estimadas
Restantes</v>
          </cell>
          <cell r="C9">
            <v>5</v>
          </cell>
          <cell r="D9">
            <v>4.2857142857142856</v>
          </cell>
          <cell r="E9">
            <v>3.5714285714285712</v>
          </cell>
          <cell r="F9">
            <v>2.8571428571428568</v>
          </cell>
          <cell r="G9">
            <v>2.1428571428571423</v>
          </cell>
          <cell r="H9">
            <v>1.4285714285714279</v>
          </cell>
          <cell r="I9">
            <v>0.71428571428571364</v>
          </cell>
          <cell r="J9">
            <v>0</v>
          </cell>
        </row>
        <row r="41">
          <cell r="B41" t="str">
            <v>Horas Estimadas</v>
          </cell>
          <cell r="C41">
            <v>4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2</v>
          </cell>
          <cell r="J41">
            <v>2</v>
          </cell>
        </row>
        <row r="42">
          <cell r="B42" t="str">
            <v>Horas Estimadas
Restantes</v>
          </cell>
          <cell r="C42">
            <v>4</v>
          </cell>
          <cell r="D42">
            <v>3.4285714285714288</v>
          </cell>
          <cell r="E42">
            <v>2.8571428571428577</v>
          </cell>
          <cell r="F42">
            <v>2.2857142857142865</v>
          </cell>
          <cell r="G42">
            <v>1.7142857142857151</v>
          </cell>
          <cell r="H42">
            <v>1.1428571428571437</v>
          </cell>
          <cell r="I42">
            <v>0.57142857142857229</v>
          </cell>
          <cell r="J42">
            <v>8.8817841970012523E-16</v>
          </cell>
        </row>
        <row r="74">
          <cell r="B74" t="str">
            <v>Horas Estimadas</v>
          </cell>
          <cell r="C74">
            <v>9.5</v>
          </cell>
          <cell r="D74">
            <v>1.5</v>
          </cell>
          <cell r="E74">
            <v>2</v>
          </cell>
          <cell r="F74">
            <v>2.5</v>
          </cell>
          <cell r="G74">
            <v>3</v>
          </cell>
          <cell r="H74">
            <v>1.5</v>
          </cell>
          <cell r="I74">
            <v>1</v>
          </cell>
          <cell r="J74">
            <v>0</v>
          </cell>
        </row>
        <row r="75">
          <cell r="B75" t="str">
            <v>Horas Estimadas
Restantes</v>
          </cell>
          <cell r="C75">
            <v>9.5</v>
          </cell>
          <cell r="D75">
            <v>8.1428571428571423</v>
          </cell>
          <cell r="E75">
            <v>6.7857142857142847</v>
          </cell>
          <cell r="F75">
            <v>5.428571428571427</v>
          </cell>
          <cell r="G75">
            <v>4.0714285714285694</v>
          </cell>
          <cell r="H75">
            <v>2.7142857142857122</v>
          </cell>
          <cell r="I75">
            <v>1.357142857142855</v>
          </cell>
          <cell r="J75">
            <v>-2.2204460492503131E-15</v>
          </cell>
        </row>
        <row r="105">
          <cell r="B105" t="str">
            <v>Horas Estimadas</v>
          </cell>
          <cell r="C105">
            <v>7</v>
          </cell>
          <cell r="D105">
            <v>1.5</v>
          </cell>
          <cell r="E105">
            <v>1</v>
          </cell>
          <cell r="F105">
            <v>1</v>
          </cell>
          <cell r="G105">
            <v>2</v>
          </cell>
          <cell r="H105">
            <v>1</v>
          </cell>
          <cell r="I105">
            <v>1</v>
          </cell>
          <cell r="J105">
            <v>1</v>
          </cell>
        </row>
        <row r="106">
          <cell r="B106" t="str">
            <v>Horas Estimadas
Restantes</v>
          </cell>
          <cell r="C106">
            <v>7</v>
          </cell>
          <cell r="D106">
            <v>6</v>
          </cell>
          <cell r="E106">
            <v>5</v>
          </cell>
          <cell r="F106">
            <v>4</v>
          </cell>
          <cell r="G106">
            <v>3</v>
          </cell>
          <cell r="H106">
            <v>2</v>
          </cell>
          <cell r="I106">
            <v>1</v>
          </cell>
          <cell r="J106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6A12-E85E-429B-B62D-2D45334F8A7D}">
  <dimension ref="A1:H5"/>
  <sheetViews>
    <sheetView topLeftCell="D1" workbookViewId="0">
      <selection activeCell="C1" sqref="C1:C1048576"/>
    </sheetView>
  </sheetViews>
  <sheetFormatPr baseColWidth="10" defaultRowHeight="15" x14ac:dyDescent="0.25"/>
  <cols>
    <col min="2" max="2" width="27.7109375" customWidth="1"/>
    <col min="3" max="3" width="39.28515625" customWidth="1"/>
    <col min="4" max="4" width="50" customWidth="1"/>
    <col min="5" max="5" width="6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/>
      <c r="G2" s="2" t="s">
        <v>13</v>
      </c>
      <c r="H2" s="2" t="s">
        <v>14</v>
      </c>
    </row>
    <row r="3" spans="1:8" ht="23.25" customHeight="1" x14ac:dyDescent="0.25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3" t="s">
        <v>19</v>
      </c>
      <c r="G3" s="2" t="s">
        <v>13</v>
      </c>
      <c r="H3" s="2" t="s">
        <v>14</v>
      </c>
    </row>
    <row r="4" spans="1:8" ht="21.75" customHeight="1" x14ac:dyDescent="0.25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3" t="s">
        <v>19</v>
      </c>
      <c r="G4" s="2" t="s">
        <v>13</v>
      </c>
      <c r="H4" s="2" t="s">
        <v>14</v>
      </c>
    </row>
    <row r="5" spans="1:8" ht="21.75" customHeight="1" x14ac:dyDescent="0.25">
      <c r="A5" s="2" t="s">
        <v>24</v>
      </c>
      <c r="B5" s="4" t="s">
        <v>25</v>
      </c>
      <c r="C5" s="4" t="s">
        <v>10</v>
      </c>
      <c r="D5" s="4" t="s">
        <v>26</v>
      </c>
      <c r="E5" s="4" t="s">
        <v>27</v>
      </c>
      <c r="F5" s="5" t="s">
        <v>19</v>
      </c>
      <c r="G5" s="4" t="s">
        <v>13</v>
      </c>
      <c r="H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5018-850E-4F79-815E-1C463BAF45E0}">
  <dimension ref="A1:J31"/>
  <sheetViews>
    <sheetView tabSelected="1" topLeftCell="A14" workbookViewId="0">
      <selection activeCell="C34" sqref="C34"/>
    </sheetView>
  </sheetViews>
  <sheetFormatPr baseColWidth="10" defaultRowHeight="15" x14ac:dyDescent="0.25"/>
  <cols>
    <col min="2" max="2" width="19.140625" customWidth="1"/>
    <col min="3" max="4" width="34.28515625" customWidth="1"/>
    <col min="5" max="5" width="56.5703125" customWidth="1"/>
    <col min="6" max="6" width="51.28515625" customWidth="1"/>
  </cols>
  <sheetData>
    <row r="1" spans="1:10" x14ac:dyDescent="0.25">
      <c r="A1" s="6" t="s">
        <v>28</v>
      </c>
      <c r="B1" s="7" t="s">
        <v>29</v>
      </c>
      <c r="C1" s="7"/>
      <c r="D1" s="7"/>
      <c r="E1" s="7"/>
      <c r="F1" s="7"/>
      <c r="G1" s="7"/>
      <c r="H1" s="7"/>
      <c r="I1" s="7"/>
    </row>
    <row r="2" spans="1:10" x14ac:dyDescent="0.25">
      <c r="B2" s="8" t="s">
        <v>0</v>
      </c>
      <c r="C2" s="8" t="s">
        <v>1</v>
      </c>
      <c r="D2" s="8" t="s">
        <v>2</v>
      </c>
      <c r="E2" s="8" t="s">
        <v>30</v>
      </c>
      <c r="F2" s="8" t="s">
        <v>31</v>
      </c>
      <c r="G2" s="8" t="s">
        <v>5</v>
      </c>
      <c r="H2" s="8" t="s">
        <v>32</v>
      </c>
      <c r="I2" s="8" t="s">
        <v>33</v>
      </c>
    </row>
    <row r="3" spans="1:10" ht="33" customHeight="1" x14ac:dyDescent="0.25">
      <c r="B3" s="9" t="s">
        <v>8</v>
      </c>
      <c r="C3" s="9" t="s">
        <v>9</v>
      </c>
      <c r="D3" s="9" t="s">
        <v>34</v>
      </c>
      <c r="E3" s="10" t="s">
        <v>11</v>
      </c>
      <c r="F3" s="11" t="s">
        <v>12</v>
      </c>
      <c r="G3" s="9" t="s">
        <v>35</v>
      </c>
      <c r="H3" s="9" t="s">
        <v>13</v>
      </c>
      <c r="I3" s="12" t="s">
        <v>14</v>
      </c>
      <c r="J3" s="13"/>
    </row>
    <row r="4" spans="1:10" x14ac:dyDescent="0.25">
      <c r="B4" s="14"/>
      <c r="C4" s="14" t="s">
        <v>36</v>
      </c>
      <c r="D4" s="14"/>
      <c r="E4" s="14"/>
      <c r="F4" s="14"/>
      <c r="G4" s="15" t="s">
        <v>37</v>
      </c>
      <c r="H4" s="14"/>
      <c r="I4" s="14"/>
      <c r="J4" s="13">
        <f>SUM(I4:I8)</f>
        <v>5</v>
      </c>
    </row>
    <row r="5" spans="1:10" x14ac:dyDescent="0.25">
      <c r="B5" s="16" t="s">
        <v>38</v>
      </c>
      <c r="C5" s="17" t="s">
        <v>39</v>
      </c>
      <c r="D5" s="18"/>
      <c r="E5" s="18"/>
      <c r="F5" s="18"/>
      <c r="G5" s="14" t="s">
        <v>40</v>
      </c>
      <c r="H5" s="14"/>
      <c r="I5" s="14">
        <v>1</v>
      </c>
      <c r="J5" s="13"/>
    </row>
    <row r="6" spans="1:10" x14ac:dyDescent="0.25">
      <c r="B6" s="16" t="s">
        <v>41</v>
      </c>
      <c r="C6" s="17" t="s">
        <v>42</v>
      </c>
      <c r="D6" s="18"/>
      <c r="E6" s="18"/>
      <c r="F6" s="18"/>
      <c r="G6" s="14" t="s">
        <v>40</v>
      </c>
      <c r="H6" s="14"/>
      <c r="I6" s="14">
        <v>2</v>
      </c>
      <c r="J6" s="13"/>
    </row>
    <row r="7" spans="1:10" x14ac:dyDescent="0.25">
      <c r="B7" s="16" t="s">
        <v>43</v>
      </c>
      <c r="C7" s="17" t="s">
        <v>44</v>
      </c>
      <c r="D7" s="18"/>
      <c r="E7" s="18"/>
      <c r="F7" s="18"/>
      <c r="G7" s="14" t="s">
        <v>40</v>
      </c>
      <c r="H7" s="14"/>
      <c r="I7" s="14">
        <v>2</v>
      </c>
      <c r="J7" s="13"/>
    </row>
    <row r="8" spans="1:10" ht="33.75" customHeight="1" x14ac:dyDescent="0.25">
      <c r="B8" s="19" t="s">
        <v>15</v>
      </c>
      <c r="C8" s="19" t="s">
        <v>16</v>
      </c>
      <c r="D8" s="19" t="s">
        <v>34</v>
      </c>
      <c r="E8" s="20" t="s">
        <v>17</v>
      </c>
      <c r="F8" s="21" t="s">
        <v>18</v>
      </c>
      <c r="G8" s="19" t="s">
        <v>35</v>
      </c>
      <c r="H8" s="19" t="s">
        <v>13</v>
      </c>
      <c r="I8" s="9" t="s">
        <v>14</v>
      </c>
      <c r="J8" s="13"/>
    </row>
    <row r="9" spans="1:10" x14ac:dyDescent="0.25">
      <c r="B9" s="14"/>
      <c r="C9" s="22" t="s">
        <v>36</v>
      </c>
      <c r="D9" s="14"/>
      <c r="E9" s="14"/>
      <c r="F9" s="14"/>
      <c r="G9" s="15" t="s">
        <v>37</v>
      </c>
      <c r="H9" s="14"/>
      <c r="I9" s="14"/>
      <c r="J9" s="13">
        <f>SUM(I9:I13)</f>
        <v>5</v>
      </c>
    </row>
    <row r="10" spans="1:10" x14ac:dyDescent="0.25">
      <c r="B10" s="16" t="s">
        <v>45</v>
      </c>
      <c r="C10" s="17" t="s">
        <v>46</v>
      </c>
      <c r="D10" s="18"/>
      <c r="E10" s="18"/>
      <c r="F10" s="18"/>
      <c r="G10" s="23" t="s">
        <v>47</v>
      </c>
      <c r="H10" s="14"/>
      <c r="I10" s="14">
        <v>1</v>
      </c>
      <c r="J10" s="13"/>
    </row>
    <row r="11" spans="1:10" x14ac:dyDescent="0.25">
      <c r="B11" s="16" t="s">
        <v>48</v>
      </c>
      <c r="C11" s="17" t="s">
        <v>49</v>
      </c>
      <c r="D11" s="18"/>
      <c r="E11" s="18"/>
      <c r="F11" s="18"/>
      <c r="G11" s="23" t="s">
        <v>47</v>
      </c>
      <c r="H11" s="14"/>
      <c r="I11" s="14">
        <v>2</v>
      </c>
      <c r="J11" s="13"/>
    </row>
    <row r="12" spans="1:10" x14ac:dyDescent="0.25">
      <c r="B12" s="16" t="s">
        <v>50</v>
      </c>
      <c r="C12" s="17" t="s">
        <v>51</v>
      </c>
      <c r="D12" s="18"/>
      <c r="E12" s="18"/>
      <c r="F12" s="18"/>
      <c r="G12" s="23" t="s">
        <v>47</v>
      </c>
      <c r="H12" s="14"/>
      <c r="I12" s="14">
        <v>1</v>
      </c>
      <c r="J12" s="13"/>
    </row>
    <row r="13" spans="1:10" x14ac:dyDescent="0.25">
      <c r="B13" s="16" t="s">
        <v>52</v>
      </c>
      <c r="C13" s="17" t="s">
        <v>53</v>
      </c>
      <c r="D13" s="18"/>
      <c r="E13" s="18"/>
      <c r="F13" s="18"/>
      <c r="G13" s="23" t="s">
        <v>47</v>
      </c>
      <c r="H13" s="14"/>
      <c r="I13" s="14">
        <v>1</v>
      </c>
      <c r="J13" s="13"/>
    </row>
    <row r="14" spans="1:10" ht="37.5" customHeight="1" x14ac:dyDescent="0.25">
      <c r="B14" s="19" t="s">
        <v>20</v>
      </c>
      <c r="C14" s="19" t="s">
        <v>21</v>
      </c>
      <c r="D14" s="19" t="s">
        <v>34</v>
      </c>
      <c r="E14" s="20" t="s">
        <v>22</v>
      </c>
      <c r="F14" s="21" t="s">
        <v>23</v>
      </c>
      <c r="G14" s="19" t="s">
        <v>35</v>
      </c>
      <c r="H14" s="19" t="s">
        <v>13</v>
      </c>
      <c r="I14" s="9" t="s">
        <v>14</v>
      </c>
      <c r="J14" s="13"/>
    </row>
    <row r="15" spans="1:10" x14ac:dyDescent="0.25">
      <c r="B15" s="14"/>
      <c r="C15" s="24" t="s">
        <v>54</v>
      </c>
      <c r="D15" s="14"/>
      <c r="E15" s="14"/>
      <c r="F15" s="14"/>
      <c r="G15" s="24" t="s">
        <v>37</v>
      </c>
      <c r="H15" s="14"/>
      <c r="I15" s="24" t="s">
        <v>55</v>
      </c>
      <c r="J15" s="13">
        <f>SUM(I16:I26)</f>
        <v>9.5</v>
      </c>
    </row>
    <row r="16" spans="1:10" x14ac:dyDescent="0.25">
      <c r="B16" s="25" t="s">
        <v>56</v>
      </c>
      <c r="C16" s="17" t="s">
        <v>57</v>
      </c>
      <c r="D16" s="18"/>
      <c r="E16" s="18"/>
      <c r="F16" s="18"/>
      <c r="G16" s="23" t="s">
        <v>58</v>
      </c>
      <c r="H16" s="14"/>
      <c r="I16" s="14">
        <v>3</v>
      </c>
      <c r="J16" s="13"/>
    </row>
    <row r="17" spans="2:10" x14ac:dyDescent="0.25">
      <c r="B17" s="25" t="s">
        <v>59</v>
      </c>
      <c r="C17" s="17" t="s">
        <v>60</v>
      </c>
      <c r="D17" s="18"/>
      <c r="E17" s="18"/>
      <c r="F17" s="18"/>
      <c r="G17" s="23" t="s">
        <v>58</v>
      </c>
      <c r="H17" s="14"/>
      <c r="I17" s="14">
        <v>2</v>
      </c>
      <c r="J17" s="13"/>
    </row>
    <row r="18" spans="2:10" x14ac:dyDescent="0.25">
      <c r="B18" s="25" t="s">
        <v>61</v>
      </c>
      <c r="C18" s="17" t="s">
        <v>62</v>
      </c>
      <c r="D18" s="18"/>
      <c r="E18" s="18"/>
      <c r="F18" s="18"/>
      <c r="G18" s="23" t="s">
        <v>58</v>
      </c>
      <c r="H18" s="14"/>
      <c r="I18" s="14">
        <v>1.5</v>
      </c>
      <c r="J18" s="13"/>
    </row>
    <row r="19" spans="2:10" x14ac:dyDescent="0.25">
      <c r="B19" s="25" t="s">
        <v>63</v>
      </c>
      <c r="C19" s="17" t="s">
        <v>64</v>
      </c>
      <c r="D19" s="18"/>
      <c r="E19" s="18"/>
      <c r="F19" s="18"/>
      <c r="G19" s="23" t="s">
        <v>58</v>
      </c>
      <c r="H19" s="14"/>
      <c r="I19" s="14">
        <v>2.5</v>
      </c>
      <c r="J19" s="13"/>
    </row>
    <row r="20" spans="2:10" hidden="1" x14ac:dyDescent="0.25">
      <c r="B20" s="25"/>
      <c r="C20" s="26"/>
      <c r="D20" s="27"/>
      <c r="E20" s="27"/>
      <c r="F20" s="27"/>
      <c r="G20" s="23"/>
      <c r="H20" s="14"/>
      <c r="I20" s="14"/>
      <c r="J20" s="13"/>
    </row>
    <row r="21" spans="2:10" hidden="1" x14ac:dyDescent="0.25">
      <c r="B21" s="25"/>
      <c r="C21" s="26"/>
      <c r="D21" s="27"/>
      <c r="E21" s="27"/>
      <c r="F21" s="27"/>
      <c r="G21" s="23"/>
      <c r="H21" s="14"/>
      <c r="I21" s="14"/>
      <c r="J21" s="13"/>
    </row>
    <row r="22" spans="2:10" hidden="1" x14ac:dyDescent="0.25">
      <c r="B22" s="25"/>
      <c r="C22" s="26"/>
      <c r="D22" s="27"/>
      <c r="E22" s="27"/>
      <c r="F22" s="27"/>
      <c r="G22" s="23"/>
      <c r="H22" s="14"/>
      <c r="I22" s="14"/>
      <c r="J22" s="13"/>
    </row>
    <row r="23" spans="2:10" hidden="1" x14ac:dyDescent="0.25">
      <c r="B23" s="25"/>
      <c r="C23" s="26"/>
      <c r="D23" s="27"/>
      <c r="E23" s="27"/>
      <c r="F23" s="27"/>
      <c r="G23" s="23"/>
      <c r="H23" s="14"/>
      <c r="I23" s="14"/>
      <c r="J23" s="13"/>
    </row>
    <row r="24" spans="2:10" hidden="1" x14ac:dyDescent="0.25">
      <c r="B24" s="25"/>
      <c r="C24" s="26"/>
      <c r="D24" s="27"/>
      <c r="E24" s="27"/>
      <c r="F24" s="27"/>
      <c r="G24" s="23"/>
      <c r="H24" s="14"/>
      <c r="I24" s="14"/>
      <c r="J24" s="13"/>
    </row>
    <row r="25" spans="2:10" hidden="1" x14ac:dyDescent="0.25">
      <c r="B25" s="25"/>
      <c r="C25" s="26"/>
      <c r="D25" s="27"/>
      <c r="E25" s="27"/>
      <c r="F25" s="27"/>
      <c r="G25" s="23"/>
      <c r="H25" s="14"/>
      <c r="I25" s="14"/>
      <c r="J25" s="13"/>
    </row>
    <row r="26" spans="2:10" x14ac:dyDescent="0.25">
      <c r="B26" s="25" t="s">
        <v>65</v>
      </c>
      <c r="C26" s="26" t="s">
        <v>66</v>
      </c>
      <c r="D26" s="27"/>
      <c r="E26" s="27"/>
      <c r="F26" s="27"/>
      <c r="G26" s="23" t="s">
        <v>58</v>
      </c>
      <c r="H26" s="14"/>
      <c r="I26" s="14">
        <v>0.5</v>
      </c>
      <c r="J26" s="13"/>
    </row>
    <row r="27" spans="2:10" ht="31.5" customHeight="1" x14ac:dyDescent="0.25">
      <c r="B27" s="19" t="s">
        <v>24</v>
      </c>
      <c r="C27" s="28" t="s">
        <v>25</v>
      </c>
      <c r="D27" s="28" t="s">
        <v>34</v>
      </c>
      <c r="E27" s="29" t="s">
        <v>26</v>
      </c>
      <c r="F27" s="30" t="s">
        <v>27</v>
      </c>
      <c r="G27" s="28" t="s">
        <v>35</v>
      </c>
      <c r="H27" s="28" t="s">
        <v>13</v>
      </c>
      <c r="I27" s="9" t="s">
        <v>14</v>
      </c>
      <c r="J27" s="13"/>
    </row>
    <row r="28" spans="2:10" x14ac:dyDescent="0.25">
      <c r="B28" s="23"/>
      <c r="C28" s="24" t="s">
        <v>54</v>
      </c>
      <c r="D28" s="31"/>
      <c r="E28" s="31"/>
      <c r="F28" s="31"/>
      <c r="G28" s="32" t="s">
        <v>37</v>
      </c>
      <c r="H28" s="31"/>
      <c r="I28" s="32" t="s">
        <v>55</v>
      </c>
      <c r="J28" s="13">
        <f>SUM(I28:I32)</f>
        <v>7</v>
      </c>
    </row>
    <row r="29" spans="2:10" x14ac:dyDescent="0.25">
      <c r="B29" s="16" t="s">
        <v>67</v>
      </c>
      <c r="C29" s="17" t="s">
        <v>68</v>
      </c>
      <c r="D29" s="18"/>
      <c r="E29" s="18"/>
      <c r="F29" s="18"/>
      <c r="G29" s="33" t="s">
        <v>69</v>
      </c>
      <c r="H29" s="31"/>
      <c r="I29" s="31">
        <v>2</v>
      </c>
      <c r="J29" s="13"/>
    </row>
    <row r="30" spans="2:10" x14ac:dyDescent="0.25">
      <c r="B30" s="16" t="s">
        <v>70</v>
      </c>
      <c r="C30" s="17" t="s">
        <v>71</v>
      </c>
      <c r="D30" s="18"/>
      <c r="E30" s="18"/>
      <c r="F30" s="18"/>
      <c r="G30" s="33" t="s">
        <v>69</v>
      </c>
      <c r="H30" s="31"/>
      <c r="I30" s="31">
        <v>2</v>
      </c>
      <c r="J30" s="13"/>
    </row>
    <row r="31" spans="2:10" x14ac:dyDescent="0.25">
      <c r="B31" s="16" t="s">
        <v>72</v>
      </c>
      <c r="C31" s="17" t="s">
        <v>73</v>
      </c>
      <c r="D31" s="18"/>
      <c r="E31" s="18"/>
      <c r="F31" s="18"/>
      <c r="G31" s="33" t="s">
        <v>69</v>
      </c>
      <c r="H31" s="31"/>
      <c r="I31" s="31">
        <v>3</v>
      </c>
      <c r="J31" s="13"/>
    </row>
  </sheetData>
  <mergeCells count="15">
    <mergeCell ref="C29:F29"/>
    <mergeCell ref="C30:F30"/>
    <mergeCell ref="C31:F31"/>
    <mergeCell ref="C12:F12"/>
    <mergeCell ref="C13:F13"/>
    <mergeCell ref="C16:F16"/>
    <mergeCell ref="C17:F17"/>
    <mergeCell ref="C18:F18"/>
    <mergeCell ref="C19:F19"/>
    <mergeCell ref="B1:I1"/>
    <mergeCell ref="C5:F5"/>
    <mergeCell ref="C6:F6"/>
    <mergeCell ref="C7:F7"/>
    <mergeCell ref="C10:F10"/>
    <mergeCell ref="C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9936-0359-41AE-9AC5-BB5284B0D127}">
  <dimension ref="A1:K106"/>
  <sheetViews>
    <sheetView topLeftCell="A50" workbookViewId="0">
      <selection sqref="A1:K132"/>
    </sheetView>
  </sheetViews>
  <sheetFormatPr baseColWidth="10" defaultRowHeight="15" x14ac:dyDescent="0.25"/>
  <sheetData>
    <row r="1" spans="1:11" x14ac:dyDescent="0.25">
      <c r="F1" s="34" t="s">
        <v>74</v>
      </c>
      <c r="G1" s="34"/>
      <c r="H1" s="34"/>
      <c r="I1" s="34"/>
      <c r="J1" s="34"/>
    </row>
    <row r="2" spans="1:11" x14ac:dyDescent="0.25">
      <c r="K2" t="s">
        <v>75</v>
      </c>
    </row>
    <row r="3" spans="1:11" x14ac:dyDescent="0.25">
      <c r="A3" s="35" t="s">
        <v>76</v>
      </c>
      <c r="B3" s="35"/>
      <c r="C3" s="35"/>
      <c r="D3" s="35"/>
      <c r="E3" s="35"/>
      <c r="F3" s="35"/>
      <c r="G3" s="35"/>
      <c r="H3" s="35"/>
      <c r="I3" s="35"/>
      <c r="J3" s="35"/>
      <c r="K3">
        <f>SUM(J8,J41,J74,J105)</f>
        <v>29</v>
      </c>
    </row>
    <row r="4" spans="1:11" x14ac:dyDescent="0.25">
      <c r="A4" s="36"/>
      <c r="B4" s="36" t="s">
        <v>55</v>
      </c>
      <c r="C4" s="36" t="s">
        <v>77</v>
      </c>
      <c r="D4" s="36" t="s">
        <v>78</v>
      </c>
      <c r="E4" s="36" t="s">
        <v>79</v>
      </c>
      <c r="F4" s="36" t="s">
        <v>80</v>
      </c>
      <c r="G4" s="36" t="s">
        <v>81</v>
      </c>
      <c r="H4" s="36" t="s">
        <v>82</v>
      </c>
      <c r="I4" s="36" t="s">
        <v>83</v>
      </c>
      <c r="J4" s="36" t="s">
        <v>84</v>
      </c>
    </row>
    <row r="5" spans="1:11" x14ac:dyDescent="0.25">
      <c r="A5" s="37" t="s">
        <v>38</v>
      </c>
      <c r="B5" s="38">
        <v>1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1</v>
      </c>
      <c r="J5" s="39">
        <f>SUM(C5:I5)</f>
        <v>1</v>
      </c>
    </row>
    <row r="6" spans="1:11" x14ac:dyDescent="0.25">
      <c r="A6" s="37" t="s">
        <v>41</v>
      </c>
      <c r="B6" s="38">
        <v>2</v>
      </c>
      <c r="C6" s="37">
        <v>0</v>
      </c>
      <c r="D6" s="37">
        <v>0</v>
      </c>
      <c r="E6" s="37">
        <v>0</v>
      </c>
      <c r="F6" s="37">
        <v>0</v>
      </c>
      <c r="G6" s="37">
        <v>1</v>
      </c>
      <c r="H6" s="37">
        <v>1</v>
      </c>
      <c r="I6" s="37">
        <v>0</v>
      </c>
      <c r="J6" s="39">
        <f>SUM(C6:I6)</f>
        <v>2</v>
      </c>
    </row>
    <row r="7" spans="1:11" x14ac:dyDescent="0.25">
      <c r="A7" s="37" t="s">
        <v>43</v>
      </c>
      <c r="B7" s="38">
        <v>2</v>
      </c>
      <c r="C7" s="37">
        <v>0</v>
      </c>
      <c r="D7" s="37">
        <v>0</v>
      </c>
      <c r="E7" s="37">
        <v>0.5</v>
      </c>
      <c r="F7" s="37">
        <v>0.5</v>
      </c>
      <c r="G7" s="37">
        <v>1</v>
      </c>
      <c r="H7" s="37">
        <v>0</v>
      </c>
      <c r="I7" s="37">
        <v>0</v>
      </c>
      <c r="J7" s="39">
        <f>SUM(C7:I7)</f>
        <v>2</v>
      </c>
    </row>
    <row r="8" spans="1:11" x14ac:dyDescent="0.25">
      <c r="A8" s="40" t="s">
        <v>85</v>
      </c>
      <c r="B8" s="36">
        <f t="shared" ref="B8:I8" si="0">SUM(B5:B7)</f>
        <v>5</v>
      </c>
      <c r="C8" s="36">
        <f t="shared" si="0"/>
        <v>0</v>
      </c>
      <c r="D8" s="36">
        <f t="shared" si="0"/>
        <v>0</v>
      </c>
      <c r="E8" s="36">
        <f t="shared" si="0"/>
        <v>0.5</v>
      </c>
      <c r="F8" s="36">
        <f t="shared" si="0"/>
        <v>0.5</v>
      </c>
      <c r="G8" s="36">
        <f t="shared" si="0"/>
        <v>2</v>
      </c>
      <c r="H8" s="36">
        <f t="shared" si="0"/>
        <v>1</v>
      </c>
      <c r="I8" s="36">
        <f t="shared" si="0"/>
        <v>1</v>
      </c>
      <c r="J8" s="39">
        <f>SUM(C8:I8)</f>
        <v>5</v>
      </c>
    </row>
    <row r="9" spans="1:11" x14ac:dyDescent="0.25">
      <c r="A9" s="40" t="s">
        <v>86</v>
      </c>
      <c r="B9" s="36">
        <f>SUM(B5:B7)</f>
        <v>5</v>
      </c>
      <c r="C9" s="36">
        <f>B9-(SUM(B5:B7)/7)</f>
        <v>4.2857142857142856</v>
      </c>
      <c r="D9" s="36">
        <f>C9-(SUM(B5:B7)/7)</f>
        <v>3.5714285714285712</v>
      </c>
      <c r="E9" s="36">
        <f>D9-(SUM(B5:B7)/7)</f>
        <v>2.8571428571428568</v>
      </c>
      <c r="F9" s="36">
        <f>E9-(SUM(B5:B7)/7)</f>
        <v>2.1428571428571423</v>
      </c>
      <c r="G9" s="36">
        <f>F9-(SUM(B5:B7)/7)</f>
        <v>1.4285714285714279</v>
      </c>
      <c r="H9" s="36">
        <f>G9-(SUM(B5:B7)/7)</f>
        <v>0.71428571428571364</v>
      </c>
      <c r="I9" s="36">
        <f>H9-(SUM(B5:B7)/7)</f>
        <v>0</v>
      </c>
      <c r="J9" s="41"/>
    </row>
    <row r="35" spans="1:10" x14ac:dyDescent="0.25">
      <c r="A35" s="35" t="s">
        <v>87</v>
      </c>
      <c r="B35" s="35"/>
      <c r="C35" s="35"/>
      <c r="D35" s="35"/>
      <c r="E35" s="35"/>
      <c r="F35" s="35"/>
      <c r="G35" s="35"/>
      <c r="H35" s="35"/>
      <c r="I35" s="35"/>
      <c r="J35" s="35"/>
    </row>
    <row r="36" spans="1:10" x14ac:dyDescent="0.25">
      <c r="A36" s="36"/>
      <c r="B36" s="36" t="s">
        <v>55</v>
      </c>
      <c r="C36" s="36" t="s">
        <v>77</v>
      </c>
      <c r="D36" s="36" t="s">
        <v>78</v>
      </c>
      <c r="E36" s="36" t="s">
        <v>79</v>
      </c>
      <c r="F36" s="36" t="s">
        <v>80</v>
      </c>
      <c r="G36" s="36" t="s">
        <v>81</v>
      </c>
      <c r="H36" s="36" t="s">
        <v>82</v>
      </c>
      <c r="I36" s="36" t="s">
        <v>83</v>
      </c>
      <c r="J36" s="36" t="s">
        <v>84</v>
      </c>
    </row>
    <row r="37" spans="1:10" x14ac:dyDescent="0.25">
      <c r="A37" s="37" t="s">
        <v>45</v>
      </c>
      <c r="B37" s="38">
        <v>1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</v>
      </c>
      <c r="J37" s="39">
        <f>SUM(C37:I37)</f>
        <v>1</v>
      </c>
    </row>
    <row r="38" spans="1:10" x14ac:dyDescent="0.25">
      <c r="A38" s="37" t="s">
        <v>48</v>
      </c>
      <c r="B38" s="38">
        <v>2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1</v>
      </c>
      <c r="I38" s="37">
        <v>1</v>
      </c>
      <c r="J38" s="39">
        <f>SUM(C38:I38)</f>
        <v>2</v>
      </c>
    </row>
    <row r="39" spans="1:10" x14ac:dyDescent="0.25">
      <c r="A39" s="37" t="s">
        <v>50</v>
      </c>
      <c r="B39" s="38">
        <v>1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1</v>
      </c>
      <c r="I39" s="37">
        <v>0</v>
      </c>
      <c r="J39" s="39">
        <f>SUM(C39:I39)</f>
        <v>1</v>
      </c>
    </row>
    <row r="40" spans="1:10" x14ac:dyDescent="0.25">
      <c r="A40" s="37" t="s">
        <v>52</v>
      </c>
      <c r="B40" s="38">
        <v>1</v>
      </c>
      <c r="C40" s="37">
        <v>0</v>
      </c>
      <c r="D40" s="37">
        <v>0</v>
      </c>
      <c r="E40" s="37">
        <v>0</v>
      </c>
      <c r="F40" s="37">
        <v>0</v>
      </c>
      <c r="G40" s="37">
        <v>1</v>
      </c>
      <c r="H40" s="37">
        <v>0</v>
      </c>
      <c r="I40" s="37">
        <v>0</v>
      </c>
      <c r="J40" s="42">
        <f>SUM(C40:I40)</f>
        <v>1</v>
      </c>
    </row>
    <row r="41" spans="1:10" x14ac:dyDescent="0.25">
      <c r="A41" s="40" t="s">
        <v>85</v>
      </c>
      <c r="B41" s="36">
        <f t="shared" ref="B41:I41" si="1">SUM(B37:B39)</f>
        <v>4</v>
      </c>
      <c r="C41" s="36">
        <f t="shared" si="1"/>
        <v>0</v>
      </c>
      <c r="D41" s="36">
        <f t="shared" si="1"/>
        <v>0</v>
      </c>
      <c r="E41" s="36">
        <f t="shared" si="1"/>
        <v>0</v>
      </c>
      <c r="F41" s="36">
        <f t="shared" si="1"/>
        <v>0</v>
      </c>
      <c r="G41" s="36">
        <f t="shared" si="1"/>
        <v>0</v>
      </c>
      <c r="H41" s="36">
        <f t="shared" si="1"/>
        <v>2</v>
      </c>
      <c r="I41" s="36">
        <f t="shared" si="1"/>
        <v>2</v>
      </c>
      <c r="J41" s="39">
        <f>SUM(C41:I41)</f>
        <v>4</v>
      </c>
    </row>
    <row r="42" spans="1:10" x14ac:dyDescent="0.25">
      <c r="A42" s="40" t="s">
        <v>86</v>
      </c>
      <c r="B42" s="36">
        <f>SUM(B37:B39)</f>
        <v>4</v>
      </c>
      <c r="C42" s="36">
        <f>B42-(SUM(B37:B39)/7)</f>
        <v>3.4285714285714288</v>
      </c>
      <c r="D42" s="36">
        <f>C42-(SUM(B37:B39)/7)</f>
        <v>2.8571428571428577</v>
      </c>
      <c r="E42" s="36">
        <f>D42-(SUM(B37:B39)/7)</f>
        <v>2.2857142857142865</v>
      </c>
      <c r="F42" s="36">
        <f>E42-(SUM(B37:B39)/7)</f>
        <v>1.7142857142857151</v>
      </c>
      <c r="G42" s="36">
        <f>F42-(SUM(B37:B39)/7)</f>
        <v>1.1428571428571437</v>
      </c>
      <c r="H42" s="36">
        <f>G42-(SUM(B37:B39)/7)</f>
        <v>0.57142857142857229</v>
      </c>
      <c r="I42" s="36">
        <f>H42-(SUM(B37:B39)/7)</f>
        <v>8.8817841970012523E-16</v>
      </c>
      <c r="J42" s="41"/>
    </row>
    <row r="67" spans="1:10" x14ac:dyDescent="0.25">
      <c r="A67" s="35" t="s">
        <v>88</v>
      </c>
      <c r="B67" s="35"/>
      <c r="C67" s="35"/>
      <c r="D67" s="35"/>
      <c r="E67" s="35"/>
      <c r="F67" s="35"/>
      <c r="G67" s="35"/>
      <c r="H67" s="35"/>
      <c r="I67" s="35"/>
      <c r="J67" s="35"/>
    </row>
    <row r="68" spans="1:10" x14ac:dyDescent="0.25">
      <c r="A68" s="36"/>
      <c r="B68" s="36" t="s">
        <v>55</v>
      </c>
      <c r="C68" s="36" t="s">
        <v>77</v>
      </c>
      <c r="D68" s="36" t="s">
        <v>78</v>
      </c>
      <c r="E68" s="36" t="s">
        <v>79</v>
      </c>
      <c r="F68" s="36" t="s">
        <v>80</v>
      </c>
      <c r="G68" s="36" t="s">
        <v>81</v>
      </c>
      <c r="H68" s="36" t="s">
        <v>82</v>
      </c>
      <c r="I68" s="36" t="s">
        <v>83</v>
      </c>
      <c r="J68" s="36" t="s">
        <v>84</v>
      </c>
    </row>
    <row r="69" spans="1:10" x14ac:dyDescent="0.25">
      <c r="A69" s="37" t="s">
        <v>56</v>
      </c>
      <c r="B69" s="38">
        <v>3</v>
      </c>
      <c r="C69" s="37">
        <v>0</v>
      </c>
      <c r="D69" s="37">
        <v>0</v>
      </c>
      <c r="E69" s="37">
        <v>1</v>
      </c>
      <c r="F69" s="37">
        <v>1</v>
      </c>
      <c r="G69" s="37">
        <v>0</v>
      </c>
      <c r="H69" s="37">
        <v>0</v>
      </c>
      <c r="I69" s="37">
        <v>0</v>
      </c>
      <c r="J69" s="39">
        <f t="shared" ref="J69:J74" si="2">SUM(C69:I69)</f>
        <v>2</v>
      </c>
    </row>
    <row r="70" spans="1:10" x14ac:dyDescent="0.25">
      <c r="A70" s="37" t="s">
        <v>59</v>
      </c>
      <c r="B70" s="38">
        <v>2</v>
      </c>
      <c r="C70" s="37">
        <v>1</v>
      </c>
      <c r="D70" s="37">
        <v>1</v>
      </c>
      <c r="E70" s="37">
        <v>1</v>
      </c>
      <c r="F70" s="37">
        <v>1</v>
      </c>
      <c r="G70" s="37">
        <v>1</v>
      </c>
      <c r="H70" s="37">
        <v>1</v>
      </c>
      <c r="I70" s="37">
        <v>0</v>
      </c>
      <c r="J70" s="39">
        <f t="shared" si="2"/>
        <v>6</v>
      </c>
    </row>
    <row r="71" spans="1:10" x14ac:dyDescent="0.25">
      <c r="A71" s="37" t="s">
        <v>61</v>
      </c>
      <c r="B71" s="38">
        <v>1.5</v>
      </c>
      <c r="C71" s="37">
        <v>0</v>
      </c>
      <c r="D71" s="37">
        <v>0</v>
      </c>
      <c r="E71" s="37">
        <v>0.5</v>
      </c>
      <c r="F71" s="37">
        <v>1</v>
      </c>
      <c r="G71" s="37">
        <v>0.5</v>
      </c>
      <c r="H71" s="37">
        <v>0</v>
      </c>
      <c r="I71" s="37">
        <v>0</v>
      </c>
      <c r="J71" s="39">
        <f t="shared" si="2"/>
        <v>2</v>
      </c>
    </row>
    <row r="72" spans="1:10" x14ac:dyDescent="0.25">
      <c r="A72" s="37" t="s">
        <v>63</v>
      </c>
      <c r="B72" s="38">
        <v>2.5</v>
      </c>
      <c r="C72" s="37">
        <v>0</v>
      </c>
      <c r="D72" s="37">
        <v>0.5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9">
        <f t="shared" si="2"/>
        <v>0.5</v>
      </c>
    </row>
    <row r="73" spans="1:10" x14ac:dyDescent="0.25">
      <c r="A73" s="37" t="s">
        <v>65</v>
      </c>
      <c r="B73" s="38">
        <v>0.5</v>
      </c>
      <c r="C73" s="37">
        <v>0.5</v>
      </c>
      <c r="D73" s="37">
        <v>0.5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9">
        <f t="shared" si="2"/>
        <v>1</v>
      </c>
    </row>
    <row r="74" spans="1:10" x14ac:dyDescent="0.25">
      <c r="A74" s="40" t="s">
        <v>85</v>
      </c>
      <c r="B74" s="36">
        <f>SUM(B69:B73)</f>
        <v>9.5</v>
      </c>
      <c r="C74" s="36">
        <f t="shared" ref="C74:I74" si="3">SUM(C69:C73)</f>
        <v>1.5</v>
      </c>
      <c r="D74" s="36">
        <f t="shared" si="3"/>
        <v>2</v>
      </c>
      <c r="E74" s="36">
        <f t="shared" si="3"/>
        <v>2.5</v>
      </c>
      <c r="F74" s="36">
        <f t="shared" si="3"/>
        <v>3</v>
      </c>
      <c r="G74" s="36">
        <f t="shared" si="3"/>
        <v>1.5</v>
      </c>
      <c r="H74" s="36">
        <f t="shared" si="3"/>
        <v>1</v>
      </c>
      <c r="I74" s="36">
        <f t="shared" si="3"/>
        <v>0</v>
      </c>
      <c r="J74" s="39">
        <f t="shared" si="2"/>
        <v>11.5</v>
      </c>
    </row>
    <row r="75" spans="1:10" x14ac:dyDescent="0.25">
      <c r="A75" s="40" t="s">
        <v>86</v>
      </c>
      <c r="B75" s="36">
        <f>SUM(B69:B73)</f>
        <v>9.5</v>
      </c>
      <c r="C75" s="36">
        <f>B75-(SUM(B69:B73)/7)</f>
        <v>8.1428571428571423</v>
      </c>
      <c r="D75" s="36">
        <f>C75-(SUM(B69:B73)/7)</f>
        <v>6.7857142857142847</v>
      </c>
      <c r="E75" s="36">
        <f>D75-(SUM(B69:B73)/7)</f>
        <v>5.428571428571427</v>
      </c>
      <c r="F75" s="36">
        <f>E75-(SUM(B69:B73)/7)</f>
        <v>4.0714285714285694</v>
      </c>
      <c r="G75" s="36">
        <f>F75-(SUM(B69:B73)/7)</f>
        <v>2.7142857142857122</v>
      </c>
      <c r="H75" s="36">
        <f>G75-(SUM(B69:B73)/7)</f>
        <v>1.357142857142855</v>
      </c>
      <c r="I75" s="36">
        <f>H75-(SUM(B69:B73)/7)</f>
        <v>-2.2204460492503131E-15</v>
      </c>
      <c r="J75" s="41"/>
    </row>
    <row r="100" spans="1:10" x14ac:dyDescent="0.25">
      <c r="A100" s="35" t="s">
        <v>89</v>
      </c>
      <c r="B100" s="35"/>
      <c r="C100" s="35"/>
      <c r="D100" s="35"/>
      <c r="E100" s="35"/>
      <c r="F100" s="35"/>
      <c r="G100" s="35"/>
      <c r="H100" s="35"/>
      <c r="I100" s="35"/>
      <c r="J100" s="35"/>
    </row>
    <row r="101" spans="1:10" x14ac:dyDescent="0.25">
      <c r="A101" s="36"/>
      <c r="B101" s="36" t="s">
        <v>55</v>
      </c>
      <c r="C101" s="36" t="s">
        <v>77</v>
      </c>
      <c r="D101" s="36" t="s">
        <v>78</v>
      </c>
      <c r="E101" s="36" t="s">
        <v>79</v>
      </c>
      <c r="F101" s="36" t="s">
        <v>80</v>
      </c>
      <c r="G101" s="36" t="s">
        <v>81</v>
      </c>
      <c r="H101" s="36" t="s">
        <v>82</v>
      </c>
      <c r="I101" s="36" t="s">
        <v>83</v>
      </c>
      <c r="J101" s="36" t="s">
        <v>84</v>
      </c>
    </row>
    <row r="102" spans="1:10" x14ac:dyDescent="0.25">
      <c r="A102" s="37" t="s">
        <v>67</v>
      </c>
      <c r="B102" s="38">
        <v>2</v>
      </c>
      <c r="C102" s="37">
        <v>0</v>
      </c>
      <c r="D102" s="37">
        <v>0</v>
      </c>
      <c r="E102" s="37">
        <v>0</v>
      </c>
      <c r="F102" s="37">
        <v>0</v>
      </c>
      <c r="G102" s="37">
        <v>1</v>
      </c>
      <c r="H102" s="37">
        <v>0</v>
      </c>
      <c r="I102" s="37">
        <v>1</v>
      </c>
      <c r="J102" s="39">
        <f>SUM(C102:I102)</f>
        <v>2</v>
      </c>
    </row>
    <row r="103" spans="1:10" x14ac:dyDescent="0.25">
      <c r="A103" s="37" t="s">
        <v>70</v>
      </c>
      <c r="B103" s="38">
        <v>2</v>
      </c>
      <c r="C103" s="37">
        <v>0.5</v>
      </c>
      <c r="D103" s="37">
        <v>0</v>
      </c>
      <c r="E103" s="37">
        <v>0</v>
      </c>
      <c r="F103" s="37">
        <v>1</v>
      </c>
      <c r="G103" s="37">
        <v>0</v>
      </c>
      <c r="H103" s="37">
        <v>1</v>
      </c>
      <c r="I103" s="37">
        <v>0</v>
      </c>
      <c r="J103" s="39">
        <f>SUM(C103:I103)</f>
        <v>2.5</v>
      </c>
    </row>
    <row r="104" spans="1:10" x14ac:dyDescent="0.25">
      <c r="A104" s="37" t="s">
        <v>72</v>
      </c>
      <c r="B104" s="38">
        <v>3</v>
      </c>
      <c r="C104" s="37">
        <v>1</v>
      </c>
      <c r="D104" s="37">
        <v>1</v>
      </c>
      <c r="E104" s="37">
        <v>1</v>
      </c>
      <c r="F104" s="37">
        <v>1</v>
      </c>
      <c r="G104" s="37">
        <v>0</v>
      </c>
      <c r="H104" s="37">
        <v>0</v>
      </c>
      <c r="I104" s="37">
        <v>0</v>
      </c>
      <c r="J104" s="39">
        <f>SUM(C104:I104)</f>
        <v>4</v>
      </c>
    </row>
    <row r="105" spans="1:10" x14ac:dyDescent="0.25">
      <c r="A105" s="40" t="s">
        <v>85</v>
      </c>
      <c r="B105" s="36">
        <f>SUM(B102:B104)</f>
        <v>7</v>
      </c>
      <c r="C105" s="36">
        <f t="shared" ref="C105" si="4">SUM(C100:C104)</f>
        <v>1.5</v>
      </c>
      <c r="D105" s="36">
        <f t="shared" ref="D105:I105" si="5">SUM(D102:D104)</f>
        <v>1</v>
      </c>
      <c r="E105" s="36">
        <f t="shared" si="5"/>
        <v>1</v>
      </c>
      <c r="F105" s="36">
        <f t="shared" si="5"/>
        <v>2</v>
      </c>
      <c r="G105" s="36">
        <f t="shared" si="5"/>
        <v>1</v>
      </c>
      <c r="H105" s="36">
        <f t="shared" si="5"/>
        <v>1</v>
      </c>
      <c r="I105" s="36">
        <f t="shared" si="5"/>
        <v>1</v>
      </c>
      <c r="J105" s="39">
        <f>SUM(C105:I105)</f>
        <v>8.5</v>
      </c>
    </row>
    <row r="106" spans="1:10" x14ac:dyDescent="0.25">
      <c r="A106" s="40" t="s">
        <v>86</v>
      </c>
      <c r="B106" s="36">
        <f>SUM(B102:B104)</f>
        <v>7</v>
      </c>
      <c r="C106" s="36">
        <f>B106-(SUM(B102:B104)/7)</f>
        <v>6</v>
      </c>
      <c r="D106" s="36">
        <f>C106-(SUM(B102:B104)/7)</f>
        <v>5</v>
      </c>
      <c r="E106" s="36">
        <f>D106-(SUM(B102:B104)/7)</f>
        <v>4</v>
      </c>
      <c r="F106" s="36">
        <f>E106-(SUM(B102:B104)/7)</f>
        <v>3</v>
      </c>
      <c r="G106" s="36">
        <f>F106-(SUM(B102:B104)/7)</f>
        <v>2</v>
      </c>
      <c r="H106" s="36">
        <f>G106-(SUM(B102:B104)/7)</f>
        <v>1</v>
      </c>
      <c r="I106" s="36">
        <f>H106-(SUM(B102:B104)/7)</f>
        <v>0</v>
      </c>
      <c r="J106" s="41"/>
    </row>
  </sheetData>
  <mergeCells count="5">
    <mergeCell ref="F1:J1"/>
    <mergeCell ref="A3:J3"/>
    <mergeCell ref="A35:J35"/>
    <mergeCell ref="A67:J67"/>
    <mergeCell ref="A100:J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2</vt:lpstr>
      <vt:lpstr>Budorchant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2026-07-15T13:41:42Z</dcterms:created>
  <dcterms:modified xsi:type="dcterms:W3CDTF">2026-07-15T13:50:25Z</dcterms:modified>
</cp:coreProperties>
</file>