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27E7642-D63A-4056-8E55-07D9F10351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<sst xmlns="http://schemas.openxmlformats.org/spreadsheetml/2006/main" count="96" uniqueCount="75">
  <si>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</si>
  <si>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</si>
  <si>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</si>
  <si>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</si>
  <si>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</si>
  <si>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</si>
  <si>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</si>
  <si>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</si>
  <si>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</si>
  <si>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</si>
  <si>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</si>
  <si>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</si>
  <si>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</si>
  <si>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</si>
  <si>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</si>
  <si>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</si>
  <si>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ingreso al sistema del aplicativo </t>
  </si>
  <si>
    <t xml:space="preserve">ingreso y uso del aplicación de gestion de informacion </t>
  </si>
  <si>
    <t xml:space="preserve">realizar todas las operaciones necesarias de las funciones del aplicativo </t>
  </si>
  <si>
    <t xml:space="preserve">Administrador del conjunto </t>
  </si>
  <si>
    <t>Ingresar su usuario(combinacion nombre del conjunto) y Contraseña (alfanumerico)</t>
  </si>
  <si>
    <t>David Sangoquia</t>
  </si>
  <si>
    <t>Alta</t>
  </si>
  <si>
    <t>Terminado</t>
  </si>
  <si>
    <t>si usuario y contraseña son correctos puede ingresar al aplicativo(se despliega una nueva ventana)</t>
  </si>
  <si>
    <t xml:space="preserve">"datos incorrectos" condicionar a 3 intentos para inicio de seccion </t>
  </si>
  <si>
    <t>Acceso administrador al aplicativo</t>
  </si>
  <si>
    <t>REQ002</t>
  </si>
  <si>
    <t>Registro de dueños y arrendatarios</t>
  </si>
  <si>
    <t>Registrar la informacion de los usarios por arrendatario y dueño</t>
  </si>
  <si>
    <t>Tener su información guardada y poder consultarla o modificarla cuando sea necesario</t>
  </si>
  <si>
    <t>Mediante formulario se pedirá los siguientes datos: nombre apellido, cedula, teléfonos, correo electrónico, numero de casa</t>
  </si>
  <si>
    <t>Eatan Ayala</t>
  </si>
  <si>
    <t>No iniciado</t>
  </si>
  <si>
    <t>Al terminar de ingresar la informacion se muestra un mensaje de "Registro terminado"</t>
  </si>
  <si>
    <t>"Casa ya registrada" al ingresar informacion repetida, y si es arrendatario es obligatorio pedir datos del dueño</t>
  </si>
  <si>
    <t>Registro Individual de Casas y Alicuotas</t>
  </si>
  <si>
    <t>REQ003</t>
  </si>
  <si>
    <t>Modificacion informacion de cada casa</t>
  </si>
  <si>
    <t xml:space="preserve">Poder modificar o eliminar la informaacion de cada casa </t>
  </si>
  <si>
    <t>La información del sistema esté siempre actualizada y sin errores</t>
  </si>
  <si>
    <t>Interfaz donde se pueda modificar o eliminar la información de cada casa</t>
  </si>
  <si>
    <t>Despues de cada interaccion los datos modificados se deben mostrar en la tabla/base de datos</t>
  </si>
  <si>
    <t>"No se pudo modificar/eliminar" con datos repetidos o no seleccionados</t>
  </si>
  <si>
    <t>Modificacion de informacion de las casas</t>
  </si>
  <si>
    <t>REQ004</t>
  </si>
  <si>
    <t>Registros de pagos por casa de alicuotas</t>
  </si>
  <si>
    <t xml:space="preserve">Registrar el pago de alícuotas de cada casa </t>
  </si>
  <si>
    <t>Contar con el registro de pago de alicuotas de cada usuario</t>
  </si>
  <si>
    <t xml:space="preserve">Mediante búsqueda de cedula tener datos principales de la persona que realiza el pago como Nombre, Número de casa, llenar el valor a pagar y la descripción. </t>
  </si>
  <si>
    <t>Johan Catota</t>
  </si>
  <si>
    <t>Despues del ingreso de los datos del pago de cada alicuota, se debe mostrar en la tabla/base de datos la informacion actualizada</t>
  </si>
  <si>
    <t>Se debe ingresar la cedula correcta y los datos solicitados, en caso de error se mostrara un mensaje</t>
  </si>
  <si>
    <t>Pagos de Alicuotas</t>
  </si>
  <si>
    <t>REQ005</t>
  </si>
  <si>
    <t>Generar un archivo del total de alicuotas pagadas</t>
  </si>
  <si>
    <t>Generar un reporte general de total de pagos de alicuotas</t>
  </si>
  <si>
    <t>Evidencia de los valores pagados de las alicuotas</t>
  </si>
  <si>
    <t>Genera una visualziacion de PDF o txt donde se visualiza el informe/reporte del pago total de alicuotas</t>
  </si>
  <si>
    <t>El sistema genera un reporte de las alicuotas en el formato requerido(pdf,txt,word,etc)</t>
  </si>
  <si>
    <t>Puede ocurrir un error al cargar el informe al no conectarse a la base de datos</t>
  </si>
  <si>
    <t>Informe/Reporte del pago total de alicuotas</t>
  </si>
  <si>
    <t xml:space="preserve">Media 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</si>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</sst>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i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13" fillId="5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8" xfId="0" applyFont="1" applyFill="1" applyBorder="1"/>
    <xf numFmtId="0" fontId="8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6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0" fontId="19" fillId="2" borderId="1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0" fillId="0" borderId="0" xfId="0"/>
    <xf numFmtId="164" fontId="5" fillId="0" borderId="24" xfId="0" applyNumberFormat="1" applyFont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/>
    </xf>
    <xf numFmtId="164" fontId="5" fillId="0" borderId="24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11" fillId="6" borderId="7" xfId="0" applyFont="1" applyFill="1" applyBorder="1" applyAlignment="1">
      <alignment horizontal="center" vertical="center"/>
    </xf>
    <xf numFmtId="0" fontId="10" fillId="0" borderId="11" xfId="0" applyFont="1" applyBorder="1" applyAlignment="1"/>
    <xf numFmtId="0" fontId="10" fillId="0" borderId="14" xfId="0" applyFont="1" applyBorder="1" applyAlignment="1"/>
    <xf numFmtId="0" fontId="18" fillId="7" borderId="8" xfId="0" applyFont="1" applyFill="1" applyBorder="1" applyAlignment="1">
      <alignment horizontal="center" vertical="center"/>
    </xf>
    <xf numFmtId="0" fontId="10" fillId="0" borderId="9" xfId="0" applyFont="1" applyBorder="1" applyAlignment="1"/>
    <xf numFmtId="0" fontId="10" fillId="0" borderId="21" xfId="0" applyFont="1" applyBorder="1" applyAlignment="1"/>
    <xf numFmtId="0" fontId="10" fillId="0" borderId="23" xfId="0" applyFont="1" applyBorder="1" applyAlignment="1"/>
    <xf numFmtId="0" fontId="11" fillId="4" borderId="8" xfId="0" applyFont="1" applyFill="1" applyBorder="1" applyAlignment="1">
      <alignment horizontal="center" vertical="center"/>
    </xf>
    <xf numFmtId="0" fontId="10" fillId="0" borderId="12" xfId="0" applyFont="1" applyBorder="1" applyAlignment="1"/>
    <xf numFmtId="0" fontId="10" fillId="0" borderId="13" xfId="0" applyFont="1" applyBorder="1" applyAlignment="1"/>
    <xf numFmtId="0" fontId="1" fillId="5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0" fillId="0" borderId="13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9" fillId="3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5" xfId="0" applyFont="1" applyBorder="1" applyAlignment="1"/>
    <xf numFmtId="0" fontId="1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0" fillId="0" borderId="10" xfId="0" applyFont="1" applyBorder="1" applyAlignment="1"/>
    <xf numFmtId="0" fontId="10" fillId="0" borderId="22" xfId="0" applyFont="1" applyBorder="1" applyAlignment="1"/>
    <xf numFmtId="0" fontId="14" fillId="5" borderId="8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wrapText="1"/>
    </xf>
    <xf numFmtId="0" fontId="17" fillId="0" borderId="9" xfId="0" applyFont="1" applyBorder="1" applyAlignment="1">
      <alignment wrapText="1"/>
    </xf>
    <xf numFmtId="0" fontId="17" fillId="0" borderId="12" xfId="0" applyFont="1" applyBorder="1" applyAlignment="1">
      <alignment wrapText="1"/>
    </xf>
    <xf numFmtId="0" fontId="15" fillId="0" borderId="0" xfId="0" applyFont="1" applyAlignment="1">
      <alignment wrapText="1"/>
    </xf>
    <xf numFmtId="0" fontId="17" fillId="0" borderId="13" xfId="0" applyFont="1" applyBorder="1" applyAlignment="1">
      <alignment wrapText="1"/>
    </xf>
    <xf numFmtId="0" fontId="17" fillId="0" borderId="21" xfId="0" applyFont="1" applyBorder="1" applyAlignment="1">
      <alignment wrapText="1"/>
    </xf>
    <xf numFmtId="0" fontId="17" fillId="0" borderId="22" xfId="0" applyFont="1" applyBorder="1" applyAlignment="1">
      <alignment wrapText="1"/>
    </xf>
    <xf numFmtId="0" fontId="17" fillId="0" borderId="23" xfId="0" applyFont="1" applyBorder="1" applyAlignment="1">
      <alignment wrapText="1"/>
    </xf>
    <xf numFmtId="0" fontId="13" fillId="2" borderId="15" xfId="0" applyFont="1" applyFill="1" applyBorder="1" applyAlignment="1">
      <alignment horizontal="center" vertical="center"/>
    </xf>
    <xf numFmtId="0" fontId="10" fillId="0" borderId="16" xfId="0" applyFont="1" applyBorder="1" applyAlignment="1"/>
    <xf numFmtId="0" fontId="10" fillId="0" borderId="17" xfId="0" applyFont="1" applyBorder="1" applyAlignment="1"/>
    <xf numFmtId="0" fontId="10" fillId="0" borderId="18" xfId="0" applyFont="1" applyBorder="1" applyAlignment="1"/>
    <xf numFmtId="0" fontId="10" fillId="0" borderId="19" xfId="0" applyFont="1" applyBorder="1" applyAlignment="1"/>
    <xf numFmtId="0" fontId="10" fillId="0" borderId="20" xfId="0" applyFont="1" applyBorder="1" applyAlignment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2"/>
  <sheetViews>
    <sheetView showGridLines="0" tabSelected="1" topLeftCell="A4" zoomScale="125" zoomScaleNormal="125" workbookViewId="0">
      <selection activeCell="D10" sqref="D10"/>
    </sheetView>
  </sheetViews>
  <sheetFormatPr baseColWidth="10" defaultColWidth="12.625" defaultRowHeight="15" customHeight="1" x14ac:dyDescent="0.2"/>
  <cols>
    <col min="1" max="1" width="2" customWidth="1"/>
    <col min="2" max="2" width="8" bestFit="1" customWidth="1"/>
    <col min="3" max="5" width="20.625" customWidth="1"/>
    <col min="6" max="6" width="15" customWidth="1"/>
    <col min="7" max="7" width="28.5" customWidth="1"/>
    <col min="8" max="12" width="10.625" customWidth="1"/>
    <col min="13" max="15" width="20.625" customWidth="1"/>
    <col min="16" max="26" width="9.25" customWidth="1"/>
  </cols>
  <sheetData>
    <row r="1" spans="2:16" x14ac:dyDescent="0.25">
      <c r="B1" s="42"/>
      <c r="C1" s="42"/>
      <c r="D1" s="42"/>
      <c r="E1" s="42"/>
      <c r="F1" s="42"/>
      <c r="G1" s="42"/>
      <c r="H1" s="42"/>
      <c r="I1" s="1"/>
      <c r="J1" s="1"/>
      <c r="K1" s="2"/>
      <c r="L1" s="3"/>
      <c r="M1" s="42"/>
      <c r="N1" s="42"/>
      <c r="O1" s="42"/>
      <c r="P1" s="42"/>
    </row>
    <row r="2" spans="2:16" x14ac:dyDescent="0.25">
      <c r="B2" s="42"/>
      <c r="C2" s="42"/>
      <c r="D2" s="42"/>
      <c r="E2" s="42"/>
      <c r="F2" s="42"/>
      <c r="G2" s="42"/>
      <c r="H2" s="42"/>
      <c r="I2" s="1"/>
      <c r="J2" s="1"/>
      <c r="K2" s="2"/>
      <c r="L2" s="3"/>
      <c r="M2" s="42"/>
      <c r="N2" s="42"/>
      <c r="O2" s="42"/>
      <c r="P2" s="42"/>
    </row>
    <row r="3" spans="2:16" ht="45" customHeight="1" x14ac:dyDescent="0.2">
      <c r="B3" s="47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2"/>
    </row>
    <row r="4" spans="2:16" x14ac:dyDescent="0.25">
      <c r="B4" s="42"/>
      <c r="C4" s="42"/>
      <c r="D4" s="42"/>
      <c r="E4" s="42"/>
      <c r="F4" s="42"/>
      <c r="G4" s="42"/>
      <c r="H4" s="4"/>
      <c r="I4" s="1"/>
      <c r="J4" s="1"/>
      <c r="K4" s="2"/>
      <c r="L4" s="3"/>
      <c r="M4" s="42"/>
      <c r="N4" s="42"/>
      <c r="O4" s="42"/>
      <c r="P4" s="42"/>
    </row>
    <row r="5" spans="2:16" ht="39.75" customHeight="1" x14ac:dyDescent="0.2">
      <c r="B5" s="5" t="s">
        <v>1</v>
      </c>
      <c r="C5" s="5" t="s">
        <v>2</v>
      </c>
      <c r="D5" s="3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42"/>
    </row>
    <row r="6" spans="2:16" ht="63" customHeight="1" x14ac:dyDescent="0.2">
      <c r="B6" s="41" t="s">
        <v>15</v>
      </c>
      <c r="C6" s="37" t="s">
        <v>16</v>
      </c>
      <c r="D6" s="37" t="s">
        <v>17</v>
      </c>
      <c r="E6" s="37" t="s">
        <v>18</v>
      </c>
      <c r="F6" s="37" t="s">
        <v>19</v>
      </c>
      <c r="G6" s="37" t="s">
        <v>20</v>
      </c>
      <c r="H6" s="37" t="s">
        <v>21</v>
      </c>
      <c r="I6" s="37">
        <v>3</v>
      </c>
      <c r="J6" s="43">
        <v>44930</v>
      </c>
      <c r="K6" s="37" t="s">
        <v>22</v>
      </c>
      <c r="L6" s="37" t="s">
        <v>23</v>
      </c>
      <c r="M6" s="36" t="s">
        <v>24</v>
      </c>
      <c r="N6" s="37" t="s">
        <v>25</v>
      </c>
      <c r="O6" s="37" t="s">
        <v>26</v>
      </c>
      <c r="P6" s="42"/>
    </row>
    <row r="7" spans="2:16" ht="67.5" customHeight="1" x14ac:dyDescent="0.2">
      <c r="B7" s="41" t="s">
        <v>27</v>
      </c>
      <c r="C7" s="38" t="s">
        <v>28</v>
      </c>
      <c r="D7" s="38" t="s">
        <v>29</v>
      </c>
      <c r="E7" s="38" t="s">
        <v>30</v>
      </c>
      <c r="F7" s="37" t="s">
        <v>19</v>
      </c>
      <c r="G7" s="38" t="s">
        <v>31</v>
      </c>
      <c r="H7" s="38" t="s">
        <v>32</v>
      </c>
      <c r="I7" s="44">
        <v>4</v>
      </c>
      <c r="J7" s="45">
        <v>46150</v>
      </c>
      <c r="K7" s="37" t="s">
        <v>22</v>
      </c>
      <c r="L7" s="38" t="s">
        <v>33</v>
      </c>
      <c r="M7" s="38" t="s">
        <v>34</v>
      </c>
      <c r="N7" s="38" t="s">
        <v>35</v>
      </c>
      <c r="O7" s="38" t="s">
        <v>36</v>
      </c>
      <c r="P7" s="42"/>
    </row>
    <row r="8" spans="2:16" ht="77.25" customHeight="1" x14ac:dyDescent="0.2">
      <c r="B8" s="41" t="s">
        <v>37</v>
      </c>
      <c r="C8" s="38" t="s">
        <v>38</v>
      </c>
      <c r="D8" s="38" t="s">
        <v>39</v>
      </c>
      <c r="E8" s="38" t="s">
        <v>40</v>
      </c>
      <c r="F8" s="37" t="s">
        <v>19</v>
      </c>
      <c r="G8" s="38" t="s">
        <v>41</v>
      </c>
      <c r="H8" s="37" t="s">
        <v>32</v>
      </c>
      <c r="I8" s="37">
        <v>4</v>
      </c>
      <c r="J8" s="43">
        <v>46164</v>
      </c>
      <c r="K8" s="37" t="s">
        <v>22</v>
      </c>
      <c r="L8" s="38" t="s">
        <v>33</v>
      </c>
      <c r="M8" s="36" t="s">
        <v>42</v>
      </c>
      <c r="N8" s="39" t="s">
        <v>43</v>
      </c>
      <c r="O8" s="37" t="s">
        <v>44</v>
      </c>
      <c r="P8" s="28"/>
    </row>
    <row r="9" spans="2:16" ht="75" customHeight="1" x14ac:dyDescent="0.2">
      <c r="B9" s="41" t="s">
        <v>45</v>
      </c>
      <c r="C9" s="37" t="s">
        <v>46</v>
      </c>
      <c r="D9" s="37" t="s">
        <v>47</v>
      </c>
      <c r="E9" s="37" t="s">
        <v>48</v>
      </c>
      <c r="F9" s="37" t="s">
        <v>19</v>
      </c>
      <c r="G9" s="37" t="s">
        <v>49</v>
      </c>
      <c r="H9" s="37" t="s">
        <v>50</v>
      </c>
      <c r="I9" s="41">
        <v>5</v>
      </c>
      <c r="J9" s="43">
        <v>46171</v>
      </c>
      <c r="K9" s="37" t="s">
        <v>22</v>
      </c>
      <c r="L9" s="38" t="s">
        <v>33</v>
      </c>
      <c r="M9" s="37" t="s">
        <v>51</v>
      </c>
      <c r="N9" s="37" t="s">
        <v>52</v>
      </c>
      <c r="O9" s="37" t="s">
        <v>53</v>
      </c>
      <c r="P9" s="28"/>
    </row>
    <row r="10" spans="2:16" ht="71.25" customHeight="1" x14ac:dyDescent="0.2">
      <c r="B10" s="41" t="s">
        <v>54</v>
      </c>
      <c r="C10" s="37" t="s">
        <v>55</v>
      </c>
      <c r="D10" s="37" t="s">
        <v>56</v>
      </c>
      <c r="E10" s="37" t="s">
        <v>57</v>
      </c>
      <c r="F10" s="37" t="s">
        <v>19</v>
      </c>
      <c r="G10" s="37" t="s">
        <v>58</v>
      </c>
      <c r="H10" s="37" t="s">
        <v>50</v>
      </c>
      <c r="I10" s="37">
        <v>5</v>
      </c>
      <c r="J10" s="43">
        <v>46178</v>
      </c>
      <c r="K10" s="37" t="s">
        <v>22</v>
      </c>
      <c r="L10" s="38" t="s">
        <v>33</v>
      </c>
      <c r="M10" s="37" t="s">
        <v>59</v>
      </c>
      <c r="N10" s="37" t="s">
        <v>60</v>
      </c>
      <c r="O10" s="37" t="s">
        <v>61</v>
      </c>
      <c r="P10" s="42"/>
    </row>
    <row r="11" spans="2:16" ht="114" customHeight="1" x14ac:dyDescent="0.2"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</row>
    <row r="12" spans="2:16" ht="14.25" x14ac:dyDescent="0.2">
      <c r="B12" s="46"/>
      <c r="C12" s="31"/>
      <c r="D12" s="31"/>
      <c r="E12" s="31"/>
      <c r="F12" s="31"/>
      <c r="G12" s="31"/>
      <c r="H12" s="31"/>
      <c r="I12" s="31"/>
      <c r="J12" s="32"/>
      <c r="K12" s="31"/>
      <c r="L12" s="31"/>
      <c r="M12" s="40"/>
      <c r="N12" s="40"/>
      <c r="O12" s="31"/>
      <c r="P12" s="42"/>
    </row>
    <row r="13" spans="2:16" ht="39.75" customHeight="1" x14ac:dyDescent="0.2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3"/>
      <c r="M13" s="34"/>
      <c r="N13" s="32"/>
      <c r="O13" s="30"/>
      <c r="P13" s="42"/>
    </row>
    <row r="14" spans="2:16" ht="39.75" customHeight="1" x14ac:dyDescent="0.2">
      <c r="B14" s="29"/>
      <c r="C14" s="30"/>
      <c r="D14" s="30"/>
      <c r="E14" s="30"/>
      <c r="F14" s="30"/>
      <c r="G14" s="30"/>
      <c r="H14" s="30"/>
      <c r="I14" s="31"/>
      <c r="J14" s="32"/>
      <c r="K14" s="31"/>
      <c r="L14" s="31"/>
      <c r="M14" s="32"/>
      <c r="N14" s="32"/>
      <c r="O14" s="32"/>
      <c r="P14" s="42"/>
    </row>
    <row r="15" spans="2:16" ht="39.75" customHeight="1" x14ac:dyDescent="0.2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  <c r="P15" s="42"/>
    </row>
    <row r="16" spans="2:16" ht="39.75" customHeight="1" x14ac:dyDescent="0.2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  <c r="P16" s="42"/>
    </row>
    <row r="17" spans="2:15" ht="39.75" customHeight="1" x14ac:dyDescent="0.2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39.75" customHeight="1" x14ac:dyDescent="0.2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2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19.5" customHeight="1" x14ac:dyDescent="0.2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19.5" customHeight="1" x14ac:dyDescent="0.2">
      <c r="B22" s="42"/>
      <c r="C22" s="42"/>
      <c r="D22" s="42"/>
      <c r="E22" s="42"/>
      <c r="F22" s="42"/>
      <c r="G22" s="42"/>
      <c r="H22" s="42"/>
      <c r="I22" s="3"/>
      <c r="J22" s="3"/>
      <c r="K22" s="6"/>
      <c r="L22" s="3"/>
      <c r="M22" s="42"/>
      <c r="N22" s="42"/>
      <c r="O22" s="42"/>
    </row>
    <row r="23" spans="2:15" ht="19.5" customHeight="1" x14ac:dyDescent="0.25">
      <c r="B23" s="42"/>
      <c r="C23" s="42"/>
      <c r="D23" s="42"/>
      <c r="E23" s="42"/>
      <c r="F23" s="42"/>
      <c r="G23" s="42"/>
      <c r="H23" s="42"/>
      <c r="I23" s="1"/>
      <c r="J23" s="1"/>
      <c r="K23" s="2"/>
      <c r="L23" s="3"/>
      <c r="M23" s="42"/>
      <c r="N23" s="42"/>
      <c r="O23" s="42"/>
    </row>
    <row r="24" spans="2:15" ht="19.5" customHeight="1" x14ac:dyDescent="0.25">
      <c r="B24" s="42"/>
      <c r="C24" s="42"/>
      <c r="D24" s="42"/>
      <c r="E24" s="42"/>
      <c r="F24" s="42"/>
      <c r="G24" s="42"/>
      <c r="H24" s="42"/>
      <c r="I24" s="1"/>
      <c r="J24" s="1"/>
      <c r="K24" s="2"/>
      <c r="L24" s="3"/>
      <c r="M24" s="42"/>
      <c r="N24" s="42"/>
      <c r="O24" s="42"/>
    </row>
    <row r="25" spans="2:15" ht="19.5" customHeight="1" x14ac:dyDescent="0.25">
      <c r="B25" s="42"/>
      <c r="C25" s="42"/>
      <c r="D25" s="42"/>
      <c r="E25" s="42"/>
      <c r="F25" s="42"/>
      <c r="G25" s="42"/>
      <c r="H25" s="42"/>
      <c r="I25" s="1"/>
      <c r="J25" s="1"/>
      <c r="K25" s="2"/>
      <c r="L25" s="3"/>
      <c r="M25" s="42"/>
      <c r="N25" s="42"/>
      <c r="O25" s="42"/>
    </row>
    <row r="26" spans="2:15" ht="19.5" customHeight="1" x14ac:dyDescent="0.2">
      <c r="B26" s="42"/>
      <c r="C26" s="42"/>
      <c r="D26" s="42"/>
      <c r="E26" s="42"/>
      <c r="F26" s="42"/>
      <c r="G26" s="42"/>
      <c r="H26" s="42"/>
      <c r="I26" s="1"/>
      <c r="J26" s="1"/>
      <c r="K26" s="7"/>
      <c r="L26" s="3"/>
      <c r="M26" s="42"/>
      <c r="N26" s="42"/>
      <c r="O26" s="42"/>
    </row>
    <row r="27" spans="2:15" ht="19.5" customHeight="1" x14ac:dyDescent="0.2">
      <c r="B27" s="42"/>
      <c r="C27" s="42"/>
      <c r="D27" s="42"/>
      <c r="E27" s="42"/>
      <c r="F27" s="42"/>
      <c r="G27" s="42"/>
      <c r="H27" s="42"/>
      <c r="I27" s="1"/>
      <c r="J27" s="1"/>
      <c r="K27" s="7"/>
      <c r="L27" s="3"/>
      <c r="M27" s="42"/>
      <c r="N27" s="42"/>
      <c r="O27" s="42"/>
    </row>
    <row r="28" spans="2:15" ht="19.5" customHeight="1" x14ac:dyDescent="0.25">
      <c r="B28" s="42"/>
      <c r="C28" s="42"/>
      <c r="D28" s="42"/>
      <c r="E28" s="42"/>
      <c r="F28" s="42"/>
      <c r="G28" s="42"/>
      <c r="H28" s="42"/>
      <c r="I28" s="1"/>
      <c r="J28" s="1"/>
      <c r="K28" s="2"/>
      <c r="L28" s="3"/>
      <c r="M28" s="42"/>
      <c r="N28" s="42"/>
      <c r="O28" s="42"/>
    </row>
    <row r="29" spans="2:15" ht="19.5" customHeight="1" x14ac:dyDescent="0.25">
      <c r="B29" s="42"/>
      <c r="C29" s="42"/>
      <c r="D29" s="42"/>
      <c r="E29" s="42"/>
      <c r="F29" s="42"/>
      <c r="G29" s="42"/>
      <c r="H29" s="42"/>
      <c r="I29" s="1"/>
      <c r="J29" s="1"/>
      <c r="K29" s="2"/>
      <c r="L29" s="3"/>
      <c r="M29" s="42"/>
      <c r="N29" s="42"/>
      <c r="O29" s="42"/>
    </row>
    <row r="30" spans="2:15" ht="19.5" customHeight="1" x14ac:dyDescent="0.25">
      <c r="B30" s="42"/>
      <c r="C30" s="42"/>
      <c r="D30" s="42"/>
      <c r="E30" s="42"/>
      <c r="F30" s="42"/>
      <c r="G30" s="42"/>
      <c r="H30" s="42"/>
      <c r="I30" s="1"/>
      <c r="J30" s="1"/>
      <c r="K30" s="2"/>
      <c r="L30" s="3"/>
      <c r="M30" s="42"/>
      <c r="N30" s="42"/>
      <c r="O30" s="42"/>
    </row>
    <row r="31" spans="2:15" ht="19.5" customHeight="1" x14ac:dyDescent="0.25">
      <c r="B31" s="42"/>
      <c r="C31" s="42"/>
      <c r="D31" s="42"/>
      <c r="E31" s="42"/>
      <c r="F31" s="42"/>
      <c r="G31" s="42"/>
      <c r="H31" s="42"/>
      <c r="I31" s="1"/>
      <c r="J31" s="1"/>
      <c r="K31" s="2" t="s">
        <v>22</v>
      </c>
      <c r="L31" s="1" t="s">
        <v>33</v>
      </c>
      <c r="M31" s="4"/>
      <c r="N31" s="42"/>
      <c r="O31" s="42"/>
    </row>
    <row r="32" spans="2:15" ht="19.5" customHeight="1" x14ac:dyDescent="0.25">
      <c r="B32" s="42"/>
      <c r="C32" s="42"/>
      <c r="D32" s="42"/>
      <c r="E32" s="42"/>
      <c r="F32" s="42"/>
      <c r="G32" s="42"/>
      <c r="H32" s="42"/>
      <c r="I32" s="1"/>
      <c r="J32" s="1"/>
      <c r="K32" s="2" t="s">
        <v>62</v>
      </c>
      <c r="L32" s="1" t="s">
        <v>63</v>
      </c>
      <c r="M32" s="4"/>
      <c r="N32" s="42"/>
      <c r="O32" s="42"/>
    </row>
    <row r="33" spans="9:13" ht="19.5" customHeight="1" x14ac:dyDescent="0.25">
      <c r="I33" s="1"/>
      <c r="J33" s="1"/>
      <c r="K33" s="2" t="s">
        <v>64</v>
      </c>
      <c r="L33" s="1" t="s">
        <v>23</v>
      </c>
      <c r="M33" s="4"/>
    </row>
    <row r="34" spans="9:13" ht="19.5" customHeight="1" x14ac:dyDescent="0.25">
      <c r="I34" s="1"/>
      <c r="J34" s="1"/>
      <c r="K34" s="2"/>
      <c r="L34" s="1" t="s">
        <v>65</v>
      </c>
      <c r="M34" s="4"/>
    </row>
    <row r="35" spans="9:13" ht="19.5" customHeight="1" x14ac:dyDescent="0.25">
      <c r="I35" s="1"/>
      <c r="J35" s="1"/>
      <c r="K35" s="2"/>
      <c r="L35" s="3"/>
      <c r="M35" s="42"/>
    </row>
    <row r="36" spans="9:13" ht="15.75" customHeight="1" x14ac:dyDescent="0.25">
      <c r="I36" s="1"/>
      <c r="J36" s="1"/>
      <c r="K36" s="2"/>
      <c r="L36" s="3"/>
      <c r="M36" s="42"/>
    </row>
    <row r="37" spans="9:13" ht="15.75" customHeight="1" x14ac:dyDescent="0.25">
      <c r="I37" s="1"/>
      <c r="J37" s="1"/>
      <c r="K37" s="2"/>
      <c r="L37" s="3"/>
      <c r="M37" s="42"/>
    </row>
    <row r="38" spans="9:13" ht="15.75" customHeight="1" x14ac:dyDescent="0.25">
      <c r="I38" s="1"/>
      <c r="J38" s="1"/>
      <c r="K38" s="2"/>
      <c r="L38" s="3"/>
      <c r="M38" s="42"/>
    </row>
    <row r="39" spans="9:13" ht="15.75" customHeight="1" x14ac:dyDescent="0.25">
      <c r="I39" s="1"/>
      <c r="J39" s="1"/>
      <c r="K39" s="2"/>
      <c r="L39" s="3"/>
      <c r="M39" s="42"/>
    </row>
    <row r="40" spans="9:13" ht="15.75" customHeight="1" x14ac:dyDescent="0.25">
      <c r="I40" s="1"/>
      <c r="J40" s="1"/>
      <c r="K40" s="2"/>
      <c r="L40" s="3"/>
      <c r="M40" s="42"/>
    </row>
    <row r="41" spans="9:13" ht="15.75" customHeight="1" x14ac:dyDescent="0.25">
      <c r="I41" s="1"/>
      <c r="J41" s="1"/>
      <c r="K41" s="2"/>
      <c r="L41" s="3"/>
      <c r="M41" s="42"/>
    </row>
    <row r="42" spans="9:13" ht="15.75" customHeight="1" x14ac:dyDescent="0.25">
      <c r="I42" s="1"/>
      <c r="J42" s="1"/>
      <c r="K42" s="2"/>
      <c r="L42" s="3"/>
      <c r="M42" s="42"/>
    </row>
    <row r="43" spans="9:13" ht="15.75" customHeight="1" x14ac:dyDescent="0.25">
      <c r="I43" s="1"/>
      <c r="J43" s="1"/>
      <c r="K43" s="2"/>
      <c r="L43" s="3"/>
      <c r="M43" s="42"/>
    </row>
    <row r="44" spans="9:13" ht="15.75" customHeight="1" x14ac:dyDescent="0.25">
      <c r="I44" s="1"/>
      <c r="J44" s="1"/>
      <c r="K44" s="2"/>
      <c r="L44" s="3"/>
      <c r="M44" s="42"/>
    </row>
    <row r="45" spans="9:13" ht="15.75" customHeight="1" x14ac:dyDescent="0.25">
      <c r="I45" s="1"/>
      <c r="J45" s="1"/>
      <c r="K45" s="2"/>
      <c r="L45" s="3"/>
      <c r="M45" s="42"/>
    </row>
    <row r="46" spans="9:13" ht="15.75" customHeight="1" x14ac:dyDescent="0.25">
      <c r="I46" s="1"/>
      <c r="J46" s="1"/>
      <c r="K46" s="2"/>
      <c r="L46" s="3"/>
      <c r="M46" s="42"/>
    </row>
    <row r="47" spans="9:13" ht="15.75" customHeight="1" x14ac:dyDescent="0.25">
      <c r="I47" s="1"/>
      <c r="J47" s="1"/>
      <c r="K47" s="2"/>
      <c r="L47" s="3"/>
      <c r="M47" s="42"/>
    </row>
    <row r="48" spans="9:13" ht="15.75" customHeight="1" x14ac:dyDescent="0.25">
      <c r="I48" s="1"/>
      <c r="J48" s="1"/>
      <c r="K48" s="2"/>
      <c r="L48" s="3"/>
      <c r="M48" s="42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5">
      <c r="I989" s="1"/>
      <c r="J989" s="1"/>
      <c r="K989" s="2"/>
      <c r="L989" s="3"/>
    </row>
    <row r="990" spans="9:12" ht="15.75" customHeight="1" x14ac:dyDescent="0.25">
      <c r="I990" s="1"/>
      <c r="J990" s="1"/>
      <c r="K990" s="2"/>
      <c r="L990" s="3"/>
    </row>
    <row r="991" spans="9:12" ht="15.75" customHeight="1" x14ac:dyDescent="0.25">
      <c r="I991" s="1"/>
      <c r="J991" s="1"/>
      <c r="K991" s="2"/>
      <c r="L991" s="3"/>
    </row>
    <row r="992" spans="9:12" ht="15.75" customHeight="1" x14ac:dyDescent="0.25">
      <c r="I992" s="1"/>
      <c r="J992" s="1"/>
      <c r="K992" s="2"/>
      <c r="L992" s="3"/>
    </row>
    <row r="993" spans="9:12" ht="15.75" customHeight="1" x14ac:dyDescent="0.25">
      <c r="I993" s="1"/>
      <c r="J993" s="1"/>
      <c r="K993" s="2"/>
      <c r="L993" s="3"/>
    </row>
    <row r="994" spans="9:12" ht="15.75" customHeight="1" x14ac:dyDescent="0.25">
      <c r="I994" s="1"/>
      <c r="J994" s="1"/>
      <c r="K994" s="2"/>
      <c r="L994" s="3"/>
    </row>
    <row r="995" spans="9:12" ht="15.75" customHeight="1" x14ac:dyDescent="0.25">
      <c r="I995" s="1"/>
      <c r="J995" s="1"/>
      <c r="K995" s="2"/>
      <c r="L995" s="3"/>
    </row>
    <row r="996" spans="9:12" ht="15.75" customHeight="1" x14ac:dyDescent="0.25">
      <c r="I996" s="1"/>
      <c r="J996" s="1"/>
      <c r="K996" s="2"/>
      <c r="L996" s="3"/>
    </row>
    <row r="997" spans="9:12" ht="15.75" customHeight="1" x14ac:dyDescent="0.25">
      <c r="I997" s="1"/>
      <c r="J997" s="1"/>
      <c r="K997" s="2"/>
      <c r="L997" s="3"/>
    </row>
    <row r="998" spans="9:12" ht="15.75" customHeight="1" x14ac:dyDescent="0.25">
      <c r="I998" s="1"/>
      <c r="J998" s="1"/>
      <c r="K998" s="2"/>
      <c r="L998" s="3"/>
    </row>
    <row r="999" spans="9:12" ht="15.75" customHeight="1" x14ac:dyDescent="0.25">
      <c r="I999" s="1"/>
      <c r="J999" s="1"/>
      <c r="K999" s="2"/>
      <c r="L999" s="3"/>
    </row>
    <row r="1000" spans="9:12" ht="15.75" customHeight="1" x14ac:dyDescent="0.25">
      <c r="I1000" s="1"/>
      <c r="J1000" s="1"/>
      <c r="K1000" s="2"/>
      <c r="L1000" s="3"/>
    </row>
    <row r="1001" spans="9:12" ht="15.75" customHeight="1" x14ac:dyDescent="0.2">
      <c r="I1001" s="3"/>
      <c r="J1001" s="3"/>
      <c r="K1001" s="6"/>
      <c r="L1001" s="3"/>
    </row>
    <row r="1002" spans="9:12" ht="15" customHeight="1" x14ac:dyDescent="0.2">
      <c r="I1002" s="3"/>
      <c r="J1002" s="3"/>
      <c r="K1002" s="6"/>
      <c r="L1002" s="3"/>
    </row>
  </sheetData>
  <mergeCells count="1">
    <mergeCell ref="B3:O3"/>
  </mergeCells>
  <dataValidations count="2">
    <dataValidation type="list" allowBlank="1" showErrorMessage="1" sqref="L12:L21 L6:L10" xr:uid="{00000000-0002-0000-0000-000000000000}">
      <formula1>$L$31:$L$34</formula1>
    </dataValidation>
    <dataValidation type="list" allowBlank="1" showErrorMessage="1" sqref="K12:K21 K6:K10" xr:uid="{00000000-0002-0000-0000-000001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6" zoomScale="70" zoomScaleNormal="70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2:16" ht="15" hidden="1" customHeight="1" x14ac:dyDescent="0.2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2:16" hidden="1" x14ac:dyDescent="0.25">
      <c r="B4" s="42"/>
      <c r="C4" s="8"/>
      <c r="D4" s="8"/>
      <c r="E4" s="8"/>
      <c r="F4" s="4"/>
      <c r="G4" s="42"/>
      <c r="H4" s="42"/>
      <c r="I4" s="42"/>
      <c r="J4" s="42"/>
      <c r="K4" s="42"/>
      <c r="L4" s="42"/>
      <c r="M4" s="42"/>
      <c r="N4" s="42"/>
      <c r="O4" s="42"/>
      <c r="P4" s="42"/>
    </row>
    <row r="5" spans="2:16" hidden="1" x14ac:dyDescent="0.25">
      <c r="B5" s="42"/>
      <c r="C5" s="8"/>
      <c r="D5" s="8"/>
      <c r="E5" s="8"/>
      <c r="F5" s="4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2:16" ht="39.75" customHeight="1" x14ac:dyDescent="0.2">
      <c r="B6" s="68" t="s">
        <v>66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70"/>
    </row>
    <row r="7" spans="2:16" ht="9.75" customHeight="1" x14ac:dyDescent="0.2">
      <c r="B7" s="42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2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71" t="s">
        <v>67</v>
      </c>
      <c r="F9" s="70"/>
      <c r="G9" s="11"/>
      <c r="H9" s="71" t="s">
        <v>11</v>
      </c>
      <c r="I9" s="70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45</v>
      </c>
      <c r="D10" s="14"/>
      <c r="E10" s="72" t="str">
        <f>VLOOKUP(C10,'Formato descripción HU'!B6:O21,5,0)</f>
        <v xml:space="preserve">Administrador del conjunto </v>
      </c>
      <c r="F10" s="73"/>
      <c r="G10" s="15"/>
      <c r="H10" s="74" t="str">
        <f>VLOOKUP(C10,'Formato descripción HU'!B6:O21,11,0)</f>
        <v>No iniciado</v>
      </c>
      <c r="I10" s="70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68</v>
      </c>
      <c r="D12" s="14"/>
      <c r="E12" s="71" t="s">
        <v>10</v>
      </c>
      <c r="F12" s="70"/>
      <c r="G12" s="15"/>
      <c r="H12" s="71" t="s">
        <v>69</v>
      </c>
      <c r="I12" s="70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>
        <f>VLOOKUP('Historia de Usuario'!C10,'Formato descripción HU'!B6:O21,8,0)</f>
        <v>5</v>
      </c>
      <c r="D13" s="14"/>
      <c r="E13" s="74" t="str">
        <f>VLOOKUP(C10,'Formato descripción HU'!B6:O21,10,0)</f>
        <v>Alta</v>
      </c>
      <c r="F13" s="70"/>
      <c r="G13" s="15"/>
      <c r="H13" s="74" t="str">
        <f>VLOOKUP(C10,'Formato descripción HU'!B6:O21,7,0)</f>
        <v>Johan Catota</v>
      </c>
      <c r="I13" s="70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49" t="s">
        <v>70</v>
      </c>
      <c r="D15" s="59" t="str">
        <f>VLOOKUP(C10,'Formato descripción HU'!B6:O21,3,0)</f>
        <v xml:space="preserve">Registrar el pago de alícuotas de cada casa </v>
      </c>
      <c r="E15" s="53"/>
      <c r="F15" s="12"/>
      <c r="G15" s="49" t="s">
        <v>71</v>
      </c>
      <c r="H15" s="59" t="str">
        <f>VLOOKUP(C10,'Formato descripción HU'!B6:O21,4,0)</f>
        <v>Contar con el registro de pago de alicuotas de cada usuario</v>
      </c>
      <c r="I15" s="83"/>
      <c r="J15" s="53"/>
      <c r="K15" s="12"/>
      <c r="L15" s="49" t="s">
        <v>72</v>
      </c>
      <c r="M15" s="85" t="str">
        <f>VLOOKUP(C10,'Formato descripción HU'!B6:O21,6,0)</f>
        <v xml:space="preserve">Mediante búsqueda de cedula tener datos principales de la persona que realiza el pago como Nombre, Número de casa, llenar el valor a pagar y la descripción. </v>
      </c>
      <c r="N15" s="86"/>
      <c r="O15" s="87"/>
      <c r="P15" s="27"/>
    </row>
    <row r="16" spans="2:16" ht="19.5" customHeight="1" x14ac:dyDescent="0.2">
      <c r="B16" s="26"/>
      <c r="C16" s="50"/>
      <c r="D16" s="57"/>
      <c r="E16" s="58"/>
      <c r="F16" s="12"/>
      <c r="G16" s="50"/>
      <c r="H16" s="57"/>
      <c r="I16" s="48"/>
      <c r="J16" s="58"/>
      <c r="K16" s="12"/>
      <c r="L16" s="50"/>
      <c r="M16" s="88"/>
      <c r="N16" s="89"/>
      <c r="O16" s="90"/>
      <c r="P16" s="27"/>
    </row>
    <row r="17" spans="2:16" ht="19.5" customHeight="1" x14ac:dyDescent="0.2">
      <c r="B17" s="26"/>
      <c r="C17" s="51"/>
      <c r="D17" s="54"/>
      <c r="E17" s="55"/>
      <c r="F17" s="12"/>
      <c r="G17" s="51"/>
      <c r="H17" s="54"/>
      <c r="I17" s="84"/>
      <c r="J17" s="55"/>
      <c r="K17" s="12"/>
      <c r="L17" s="51"/>
      <c r="M17" s="91"/>
      <c r="N17" s="92"/>
      <c r="O17" s="93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52" t="s">
        <v>73</v>
      </c>
      <c r="D19" s="53"/>
      <c r="E19" s="94" t="str">
        <f>VLOOKUP(C10,'Formato descripción HU'!B6:O20,14,0)</f>
        <v>Pagos de Alicuotas</v>
      </c>
      <c r="F19" s="95"/>
      <c r="G19" s="95"/>
      <c r="H19" s="95"/>
      <c r="I19" s="95"/>
      <c r="J19" s="95"/>
      <c r="K19" s="95"/>
      <c r="L19" s="95"/>
      <c r="M19" s="95"/>
      <c r="N19" s="95"/>
      <c r="O19" s="96"/>
      <c r="P19" s="27"/>
    </row>
    <row r="20" spans="2:16" ht="19.5" customHeight="1" x14ac:dyDescent="0.2">
      <c r="B20" s="26"/>
      <c r="C20" s="54"/>
      <c r="D20" s="55"/>
      <c r="E20" s="97"/>
      <c r="F20" s="98"/>
      <c r="G20" s="98"/>
      <c r="H20" s="98"/>
      <c r="I20" s="98"/>
      <c r="J20" s="98"/>
      <c r="K20" s="98"/>
      <c r="L20" s="98"/>
      <c r="M20" s="98"/>
      <c r="N20" s="98"/>
      <c r="O20" s="99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56" t="s">
        <v>74</v>
      </c>
      <c r="D22" s="53"/>
      <c r="E22" s="59" t="str">
        <f>VLOOKUP(C10,'Formato descripción HU'!B6:O21,12,0)</f>
        <v>Despues del ingreso de los datos del pago de cada alicuota, se debe mostrar en la tabla/base de datos la informacion actualizada</v>
      </c>
      <c r="F22" s="60"/>
      <c r="G22" s="60"/>
      <c r="H22" s="61"/>
      <c r="I22" s="12"/>
      <c r="J22" s="56" t="s">
        <v>13</v>
      </c>
      <c r="K22" s="53"/>
      <c r="L22" s="59" t="str">
        <f>VLOOKUP(C10,'Formato descripción HU'!B6:O21,13,0)</f>
        <v>Se debe ingresar la cedula correcta y los datos solicitados, en caso de error se mostrara un mensaje</v>
      </c>
      <c r="M22" s="75"/>
      <c r="N22" s="75"/>
      <c r="O22" s="76"/>
      <c r="P22" s="27"/>
    </row>
    <row r="23" spans="2:16" ht="19.5" customHeight="1" x14ac:dyDescent="0.2">
      <c r="B23" s="26"/>
      <c r="C23" s="57"/>
      <c r="D23" s="58"/>
      <c r="E23" s="62"/>
      <c r="F23" s="63"/>
      <c r="G23" s="63"/>
      <c r="H23" s="64"/>
      <c r="I23" s="12"/>
      <c r="J23" s="57"/>
      <c r="K23" s="58"/>
      <c r="L23" s="77"/>
      <c r="M23" s="78"/>
      <c r="N23" s="78"/>
      <c r="O23" s="79"/>
      <c r="P23" s="27"/>
    </row>
    <row r="24" spans="2:16" ht="19.5" customHeight="1" x14ac:dyDescent="0.2">
      <c r="B24" s="26"/>
      <c r="C24" s="54"/>
      <c r="D24" s="55"/>
      <c r="E24" s="65"/>
      <c r="F24" s="66"/>
      <c r="G24" s="66"/>
      <c r="H24" s="67"/>
      <c r="I24" s="12"/>
      <c r="J24" s="54"/>
      <c r="K24" s="55"/>
      <c r="L24" s="80"/>
      <c r="M24" s="81"/>
      <c r="N24" s="81"/>
      <c r="O24" s="82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</row>
    <row r="27" spans="2:16" ht="19.5" customHeight="1" x14ac:dyDescent="0.2"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spans="2:16" ht="19.5" customHeight="1" x14ac:dyDescent="0.2"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</row>
    <row r="29" spans="2:16" ht="19.5" customHeight="1" x14ac:dyDescent="0.2"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</row>
    <row r="30" spans="2:16" ht="19.5" customHeight="1" x14ac:dyDescent="0.2"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</row>
    <row r="31" spans="2:16" ht="19.5" customHeight="1" x14ac:dyDescent="0.2"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</row>
    <row r="32" spans="2:16" ht="19.5" customHeight="1" x14ac:dyDescent="0.2"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</row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Mateo Ct</cp:lastModifiedBy>
  <cp:revision/>
  <dcterms:created xsi:type="dcterms:W3CDTF">2019-10-21T15:37:14Z</dcterms:created>
  <dcterms:modified xsi:type="dcterms:W3CDTF">2026-04-30T03:48:54Z</dcterms:modified>
  <cp:category/>
  <cp:contentStatus/>
</cp:coreProperties>
</file>